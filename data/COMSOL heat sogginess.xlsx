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Heat_Raw" sheetId="2" r:id="rId5"/>
    <sheet state="visible" name="Heat_Extras" sheetId="3" r:id="rId6"/>
    <sheet state="visible" name="Heat_Calc" sheetId="4" r:id="rId7"/>
    <sheet state="visible" name="Sogginess_Raw" sheetId="5" r:id="rId8"/>
    <sheet state="visible" name="Sogginess_Calc" sheetId="6" r:id="rId9"/>
    <sheet state="visible" name="Summary" sheetId="7" r:id="rId10"/>
    <sheet state="visible" name="Charts" sheetId="8" r:id="rId11"/>
  </sheets>
  <definedNames/>
  <calcPr/>
  <extLst>
    <ext uri="GoogleSheetsCustomDataVersion2">
      <go:sheetsCustomData xmlns:go="http://customooxmlschemas.google.com/" r:id="rId12" roundtripDataChecksum="AAxT9gtWWkDyoFkO3Dikcnz7Wapo0TaaNlebXXuHn7k="/>
    </ext>
  </extLst>
</workbook>
</file>

<file path=xl/sharedStrings.xml><?xml version="1.0" encoding="utf-8"?>
<sst xmlns="http://schemas.openxmlformats.org/spreadsheetml/2006/main" count="368" uniqueCount="139">
  <si>
    <t>Model Inputs and Constants</t>
  </si>
  <si>
    <t>Parameter</t>
  </si>
  <si>
    <t>Value</t>
  </si>
  <si>
    <t>Unit</t>
  </si>
  <si>
    <t>Notes</t>
  </si>
  <si>
    <t>Tinf</t>
  </si>
  <si>
    <t>K</t>
  </si>
  <si>
    <t>Ambient temperature</t>
  </si>
  <si>
    <t>T0</t>
  </si>
  <si>
    <t>Initial temperature</t>
  </si>
  <si>
    <t>h_conv</t>
  </si>
  <si>
    <t>W/(m^2*K)</t>
  </si>
  <si>
    <t>External heat-transfer coefficient</t>
  </si>
  <si>
    <t>t_end</t>
  </si>
  <si>
    <t>s</t>
  </si>
  <si>
    <t>Final simulation time</t>
  </si>
  <si>
    <t>R_top_in</t>
  </si>
  <si>
    <t>mm</t>
  </si>
  <si>
    <t>Cone top inner radius</t>
  </si>
  <si>
    <t>R_tip_in</t>
  </si>
  <si>
    <t>Cone tip inner radius</t>
  </si>
  <si>
    <t>t_cone</t>
  </si>
  <si>
    <t>Cone wall thickness</t>
  </si>
  <si>
    <t>H_cone</t>
  </si>
  <si>
    <t>Cone height</t>
  </si>
  <si>
    <t>R_scoop</t>
  </si>
  <si>
    <t>Scoop radius</t>
  </si>
  <si>
    <t>k_ice</t>
  </si>
  <si>
    <t>W/(m*K)</t>
  </si>
  <si>
    <t>Ice cream thermal conductivity</t>
  </si>
  <si>
    <t>rho_ice</t>
  </si>
  <si>
    <t>kg/m^3</t>
  </si>
  <si>
    <t>Ice cream density</t>
  </si>
  <si>
    <t>Cp_ice</t>
  </si>
  <si>
    <t>J/(kg*K)</t>
  </si>
  <si>
    <t>Ice cream heat capacity</t>
  </si>
  <si>
    <t>k_cone</t>
  </si>
  <si>
    <t>Cone thermal conductivity</t>
  </si>
  <si>
    <t>rho_cone</t>
  </si>
  <si>
    <t>Cone density</t>
  </si>
  <si>
    <t>Cp_cone</t>
  </si>
  <si>
    <t>Cone heat capacity</t>
  </si>
  <si>
    <t>Tm</t>
  </si>
  <si>
    <t>Effective melting temperature</t>
  </si>
  <si>
    <t>V_ice</t>
  </si>
  <si>
    <t>m^3</t>
  </si>
  <si>
    <t>COMSOL ice-cream volume</t>
  </si>
  <si>
    <t>Deff</t>
  </si>
  <si>
    <t>m^2/s</t>
  </si>
  <si>
    <t>Effective diffusion / wetting coefficient</t>
  </si>
  <si>
    <t>eps_cone</t>
  </si>
  <si>
    <t>-</t>
  </si>
  <si>
    <t>Cone porosity</t>
  </si>
  <si>
    <t>rho_liq</t>
  </si>
  <si>
    <t>Melted-liquid density</t>
  </si>
  <si>
    <t>t_melt_onset_manual</t>
  </si>
  <si>
    <t>Previously calculated from interpolation</t>
  </si>
  <si>
    <t>dH_melt</t>
  </si>
  <si>
    <t>J/kg</t>
  </si>
  <si>
    <t>Effective latent heat of melting</t>
  </si>
  <si>
    <t>V_cone</t>
  </si>
  <si>
    <t>COMSOL cone-wall volume</t>
  </si>
  <si>
    <t>Derived Constants (Formula Cells)</t>
  </si>
  <si>
    <t>m_ice</t>
  </si>
  <si>
    <t>kg</t>
  </si>
  <si>
    <t>Ice cream mass = rho_ice * V_ice</t>
  </si>
  <si>
    <t>Qreq_melt</t>
  </si>
  <si>
    <t>J</t>
  </si>
  <si>
    <t>Energy required to heat ice cream from T0 to Tm</t>
  </si>
  <si>
    <t>Heat Section Raw Data</t>
  </si>
  <si>
    <t>time_s</t>
  </si>
  <si>
    <t>E_ice_J</t>
  </si>
  <si>
    <t>Qreq_line_J</t>
  </si>
  <si>
    <t>COMSOL volume integration of rho_ice*Cp_ice*(T-T0)</t>
  </si>
  <si>
    <t>Additional Heat Section Outputs</t>
  </si>
  <si>
    <t>ht.ntflux_W</t>
  </si>
  <si>
    <t>heat_in_W</t>
  </si>
  <si>
    <t>Point15_K</t>
  </si>
  <si>
    <t>Point28_K</t>
  </si>
  <si>
    <t>Point29_K</t>
  </si>
  <si>
    <t>Heat Section Calculations</t>
  </si>
  <si>
    <t>Qreq_melt_J</t>
  </si>
  <si>
    <t>Excess_E_J</t>
  </si>
  <si>
    <t>M_melt_kg</t>
  </si>
  <si>
    <t>M_melt_g</t>
  </si>
  <si>
    <t>Threshold_Flag</t>
  </si>
  <si>
    <t>Free_Liquid_kg</t>
  </si>
  <si>
    <t>Free_Liquid_g</t>
  </si>
  <si>
    <t>Sogginess Section Raw Data</t>
  </si>
  <si>
    <t>sat_int_m3</t>
  </si>
  <si>
    <t>V_cone_m3</t>
  </si>
  <si>
    <t>M_abs_raw_kg</t>
  </si>
  <si>
    <t>COMSOL saturation / absorbed-mass output</t>
  </si>
  <si>
    <t>Sogginess Section Calculations</t>
  </si>
  <si>
    <t>SI</t>
  </si>
  <si>
    <t>M_abs_kg</t>
  </si>
  <si>
    <t>M_abs_g</t>
  </si>
  <si>
    <t>M_abs_check_diff</t>
  </si>
  <si>
    <t>loss of desirable crispness</t>
  </si>
  <si>
    <t>Key Summary Metrics</t>
  </si>
  <si>
    <t>Metric</t>
  </si>
  <si>
    <t>Comment</t>
  </si>
  <si>
    <t>Ice cream volume</t>
  </si>
  <si>
    <t>From COMSOL volume integration</t>
  </si>
  <si>
    <t>Ice cream mass</t>
  </si>
  <si>
    <t>rho_ice * V_ice</t>
  </si>
  <si>
    <t>Energy required to reach Tm</t>
  </si>
  <si>
    <t>Cone wall volume</t>
  </si>
  <si>
    <t>Melting Onset Calculation (Formula-Based)</t>
  </si>
  <si>
    <t>Item</t>
  </si>
  <si>
    <t>Formula / Value</t>
  </si>
  <si>
    <t>Explanation</t>
  </si>
  <si>
    <t>Below-threshold row index</t>
  </si>
  <si>
    <t>row</t>
  </si>
  <si>
    <t>Last row where E_ice &lt;= Qreq_melt</t>
  </si>
  <si>
    <t>t1</t>
  </si>
  <si>
    <t>Time just below threshold</t>
  </si>
  <si>
    <t>E1</t>
  </si>
  <si>
    <t>Energy just below threshold</t>
  </si>
  <si>
    <t>t2</t>
  </si>
  <si>
    <t>Time just above threshold</t>
  </si>
  <si>
    <t>E2</t>
  </si>
  <si>
    <t>Energy just above threshold</t>
  </si>
  <si>
    <t>Melting onset time</t>
  </si>
  <si>
    <t>Linear interpolation</t>
  </si>
  <si>
    <t>min</t>
  </si>
  <si>
    <t>Converted to minutes</t>
  </si>
  <si>
    <t>End-Time Outputs at 1800 s</t>
  </si>
  <si>
    <t>E_ice at 1800 s</t>
  </si>
  <si>
    <t>Sensible energy increase</t>
  </si>
  <si>
    <t>Melted mass at 1800 s</t>
  </si>
  <si>
    <t>g</t>
  </si>
  <si>
    <t>Energy-based estimate</t>
  </si>
  <si>
    <t>Absorbed mass at 1800 s</t>
  </si>
  <si>
    <t>From sat integral</t>
  </si>
  <si>
    <t>Sogginess index at 1800 s</t>
  </si>
  <si>
    <t>Average saturation in cone wall</t>
  </si>
  <si>
    <t>Free liquid at 1800 s</t>
  </si>
  <si>
    <t>M_melt - M_abs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</si>
</sst>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"/>
    <numFmt numFmtId="165" formatCode="0.0000E+00"/>
    <numFmt numFmtId="166" formatCode="0.000000"/>
    <numFmt numFmtId="167" formatCode="0.000"/>
  </numFmts>
  <fonts count="7">
    <font>
      <sz val="11.0"/>
      <color theme="1"/>
      <name val="Calibri"/>
      <scheme val="minor"/>
    </font>
    <font>
      <b/>
      <sz val="12.0"/>
      <color rgb="FFFFFFFF"/>
      <name val="Calibri"/>
    </font>
    <font/>
    <font>
      <b/>
      <sz val="11.0"/>
      <color theme="1"/>
      <name val="Calibri"/>
    </font>
    <font>
      <sz val="11.0"/>
      <color rgb="FF000000"/>
      <name val="Calibri"/>
    </font>
    <font>
      <sz val="11.0"/>
      <color rgb="FF0000FF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  <fill>
      <patternFill patternType="solid">
        <fgColor rgb="FFE2F0D9"/>
        <bgColor rgb="FFE2F0D9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C0C0C0"/>
      </lef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vertical="center"/>
    </xf>
    <xf borderId="4" fillId="5" fontId="5" numFmtId="2" xfId="0" applyAlignment="1" applyBorder="1" applyFill="1" applyFont="1" applyNumberFormat="1">
      <alignment horizontal="center" vertical="center"/>
    </xf>
    <xf borderId="4" fillId="5" fontId="5" numFmtId="164" xfId="0" applyAlignment="1" applyBorder="1" applyFont="1" applyNumberFormat="1">
      <alignment horizontal="center" vertical="center"/>
    </xf>
    <xf borderId="4" fillId="5" fontId="5" numFmtId="1" xfId="0" applyAlignment="1" applyBorder="1" applyFont="1" applyNumberFormat="1">
      <alignment horizontal="center" vertical="center"/>
    </xf>
    <xf borderId="4" fillId="5" fontId="5" numFmtId="165" xfId="0" applyAlignment="1" applyBorder="1" applyFont="1" applyNumberFormat="1">
      <alignment horizontal="center" vertical="center"/>
    </xf>
    <xf borderId="4" fillId="5" fontId="5" numFmtId="11" xfId="0" applyAlignment="1" applyBorder="1" applyFont="1" applyNumberFormat="1">
      <alignment horizontal="center" vertical="center"/>
    </xf>
    <xf borderId="4" fillId="4" fontId="4" numFmtId="166" xfId="0" applyAlignment="1" applyBorder="1" applyFont="1" applyNumberFormat="1">
      <alignment horizontal="center" vertical="center"/>
    </xf>
    <xf borderId="4" fillId="4" fontId="4" numFmtId="167" xfId="0" applyAlignment="1" applyBorder="1" applyFont="1" applyNumberFormat="1">
      <alignment horizontal="center" vertical="center"/>
    </xf>
    <xf borderId="4" fillId="4" fontId="4" numFmtId="2" xfId="0" applyAlignment="1" applyBorder="1" applyFont="1" applyNumberFormat="1">
      <alignment horizontal="center" vertical="center"/>
    </xf>
    <xf borderId="4" fillId="4" fontId="4" numFmtId="1" xfId="0" applyAlignment="1" applyBorder="1" applyFont="1" applyNumberFormat="1">
      <alignment horizontal="center" vertical="center"/>
    </xf>
    <xf borderId="4" fillId="4" fontId="4" numFmtId="164" xfId="0" applyAlignment="1" applyBorder="1" applyFont="1" applyNumberFormat="1">
      <alignment horizontal="center" vertical="center"/>
    </xf>
    <xf borderId="4" fillId="4" fontId="4" numFmtId="165" xfId="0" applyAlignment="1" applyBorder="1" applyFont="1" applyNumberFormat="1">
      <alignment horizontal="center" vertical="center"/>
    </xf>
    <xf borderId="4" fillId="6" fontId="4" numFmtId="164" xfId="0" applyAlignment="1" applyBorder="1" applyFill="1" applyFont="1" applyNumberFormat="1">
      <alignment horizontal="center" vertical="center"/>
    </xf>
    <xf borderId="4" fillId="6" fontId="4" numFmtId="167" xfId="0" applyAlignment="1" applyBorder="1" applyFont="1" applyNumberFormat="1">
      <alignment horizontal="center" vertical="center"/>
    </xf>
    <xf borderId="5" fillId="6" fontId="6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1" fillId="4" fontId="4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Ice Cream Sensible Energy vs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v>E_ice_J</c:v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Heat_Raw!$A$4:$A$94</c:f>
            </c:strRef>
          </c:cat>
          <c:val>
            <c:numRef>
              <c:f>Heat_Raw!$B$4:$B$94</c:f>
              <c:numCache/>
            </c:numRef>
          </c:val>
          <c:smooth val="0"/>
        </c:ser>
        <c:ser>
          <c:idx val="1"/>
          <c:order val="1"/>
          <c:tx>
            <c:v>Qreq_line_J</c:v>
          </c:tx>
          <c:spPr>
            <a:ln cmpd="sng" w="28575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Heat_Raw!$A$4:$A$94</c:f>
            </c:strRef>
          </c:cat>
          <c:val>
            <c:numRef>
              <c:f>Heat_Raw!$C$4:$C$94</c:f>
              <c:numCache/>
            </c:numRef>
          </c:val>
          <c:smooth val="0"/>
        </c:ser>
        <c:axId val="1966841991"/>
        <c:axId val="846736162"/>
      </c:lineChart>
      <c:catAx>
        <c:axId val="1966841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846736162"/>
      </c:catAx>
      <c:valAx>
        <c:axId val="84673616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Energy (J)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96684199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Estimated Melted Mass vs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M_melt_g</c:v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Heat_Calc!$A$4:$A$94</c:f>
            </c:strRef>
          </c:cat>
          <c:val>
            <c:numRef>
              <c:f>Heat_Calc!$F$4:$F$94</c:f>
              <c:numCache/>
            </c:numRef>
          </c:val>
          <c:smooth val="0"/>
        </c:ser>
        <c:axId val="156423497"/>
        <c:axId val="1283807846"/>
      </c:lineChart>
      <c:catAx>
        <c:axId val="1564234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283807846"/>
      </c:catAx>
      <c:valAx>
        <c:axId val="128380784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Melted mass (g)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5642349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Absorbed Liquid Mass vs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M_abs_g</c:v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Sogginess_Calc!$A$4:$A$94</c:f>
            </c:strRef>
          </c:cat>
          <c:val>
            <c:numRef>
              <c:f>Sogginess_Calc!$F$4:$F$94</c:f>
              <c:numCache/>
            </c:numRef>
          </c:val>
          <c:smooth val="0"/>
        </c:ser>
        <c:axId val="1265570209"/>
        <c:axId val="354441432"/>
      </c:lineChart>
      <c:catAx>
        <c:axId val="1265570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354441432"/>
      </c:catAx>
      <c:valAx>
        <c:axId val="3544414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Absorbed mass (g)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26557020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Sogginess Index vs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SI</c:v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Sogginess_Calc!$A$4:$A$94</c:f>
            </c:strRef>
          </c:cat>
          <c:val>
            <c:numRef>
              <c:f>Sogginess_Calc!$D$4:$D$94</c:f>
              <c:numCache/>
            </c:numRef>
          </c:val>
          <c:smooth val="0"/>
        </c:ser>
        <c:axId val="1005321702"/>
        <c:axId val="1815030988"/>
      </c:lineChart>
      <c:catAx>
        <c:axId val="10053217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815030988"/>
      </c:catAx>
      <c:valAx>
        <c:axId val="18150309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SI (-)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00532170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Melted Mass vs Absorbed Mass</a:t>
            </a:r>
          </a:p>
        </c:rich>
      </c:tx>
      <c:overlay val="0"/>
    </c:title>
    <c:plotArea>
      <c:layout/>
      <c:lineChart>
        <c:ser>
          <c:idx val="0"/>
          <c:order val="0"/>
          <c:tx>
            <c:v>M_melt_g</c:v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Heat_Calc!$A$4:$A$94</c:f>
            </c:strRef>
          </c:cat>
          <c:val>
            <c:numRef>
              <c:f>Heat_Calc!$F$4:$F$94</c:f>
              <c:numCache/>
            </c:numRef>
          </c:val>
          <c:smooth val="0"/>
        </c:ser>
        <c:ser>
          <c:idx val="1"/>
          <c:order val="1"/>
          <c:tx>
            <c:v>M_abs_g</c:v>
          </c:tx>
          <c:spPr>
            <a:ln cmpd="sng" w="28575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Heat_Calc!$A$4:$A$94</c:f>
            </c:strRef>
          </c:cat>
          <c:val>
            <c:numRef>
              <c:f>Sogginess_Calc!$F$4:$F$94</c:f>
              <c:numCache/>
            </c:numRef>
          </c:val>
          <c:smooth val="0"/>
        </c:ser>
        <c:axId val="413308511"/>
        <c:axId val="143594747"/>
      </c:lineChart>
      <c:catAx>
        <c:axId val="413308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43594747"/>
      </c:catAx>
      <c:valAx>
        <c:axId val="1435947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Mass (g)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41330851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0</xdr:rowOff>
    </xdr:from>
    <xdr:ext cx="7115175" cy="4257675"/>
    <xdr:graphicFrame>
      <xdr:nvGraphicFramePr>
        <xdr:cNvPr id="19597844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0</xdr:rowOff>
    </xdr:from>
    <xdr:ext cx="1800225" cy="0"/>
    <xdr:graphicFrame>
      <xdr:nvGraphicFramePr>
        <xdr:cNvPr id="82641013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0</xdr:colOff>
      <xdr:row>1</xdr:row>
      <xdr:rowOff>0</xdr:rowOff>
    </xdr:from>
    <xdr:ext cx="0" cy="1800225"/>
    <xdr:graphicFrame>
      <xdr:nvGraphicFramePr>
        <xdr:cNvPr id="151455460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0</xdr:colOff>
      <xdr:row>19</xdr:row>
      <xdr:rowOff>0</xdr:rowOff>
    </xdr:from>
    <xdr:ext cx="0" cy="0"/>
    <xdr:graphicFrame>
      <xdr:nvGraphicFramePr>
        <xdr:cNvPr id="638079283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37</xdr:row>
      <xdr:rowOff>0</xdr:rowOff>
    </xdr:from>
    <xdr:ext cx="1800225" cy="0"/>
    <xdr:graphicFrame>
      <xdr:nvGraphicFramePr>
        <xdr:cNvPr id="123422310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8.0"/>
    <col customWidth="1" min="3" max="3" width="14.0"/>
    <col customWidth="1" min="4" max="4" width="52.0"/>
    <col customWidth="1" min="5" max="26" width="9.0"/>
  </cols>
  <sheetData>
    <row r="1">
      <c r="A1" s="1" t="s">
        <v>0</v>
      </c>
      <c r="B1" s="2"/>
      <c r="C1" s="2"/>
      <c r="D1" s="3"/>
    </row>
    <row r="3">
      <c r="A3" s="4" t="s">
        <v>1</v>
      </c>
      <c r="B3" s="4" t="s">
        <v>2</v>
      </c>
      <c r="C3" s="4" t="s">
        <v>3</v>
      </c>
      <c r="D3" s="4" t="s">
        <v>4</v>
      </c>
    </row>
    <row r="4">
      <c r="A4" s="5" t="s">
        <v>5</v>
      </c>
      <c r="B4" s="6">
        <v>298.15</v>
      </c>
      <c r="C4" s="5" t="s">
        <v>6</v>
      </c>
      <c r="D4" s="5" t="s">
        <v>7</v>
      </c>
    </row>
    <row r="5">
      <c r="A5" s="5" t="s">
        <v>8</v>
      </c>
      <c r="B5" s="6">
        <v>263.15</v>
      </c>
      <c r="C5" s="5" t="s">
        <v>6</v>
      </c>
      <c r="D5" s="5" t="s">
        <v>9</v>
      </c>
    </row>
    <row r="6">
      <c r="A6" s="5" t="s">
        <v>10</v>
      </c>
      <c r="B6" s="6">
        <v>8.0</v>
      </c>
      <c r="C6" s="5" t="s">
        <v>11</v>
      </c>
      <c r="D6" s="5" t="s">
        <v>12</v>
      </c>
    </row>
    <row r="7">
      <c r="A7" s="5" t="s">
        <v>13</v>
      </c>
      <c r="B7" s="6">
        <v>1800.0</v>
      </c>
      <c r="C7" s="5" t="s">
        <v>14</v>
      </c>
      <c r="D7" s="5" t="s">
        <v>15</v>
      </c>
    </row>
    <row r="8">
      <c r="A8" s="5" t="s">
        <v>16</v>
      </c>
      <c r="B8" s="7">
        <v>25.0</v>
      </c>
      <c r="C8" s="5" t="s">
        <v>17</v>
      </c>
      <c r="D8" s="5" t="s">
        <v>18</v>
      </c>
    </row>
    <row r="9">
      <c r="A9" s="5" t="s">
        <v>19</v>
      </c>
      <c r="B9" s="7">
        <v>2.0</v>
      </c>
      <c r="C9" s="5" t="s">
        <v>17</v>
      </c>
      <c r="D9" s="5" t="s">
        <v>20</v>
      </c>
    </row>
    <row r="10">
      <c r="A10" s="5" t="s">
        <v>21</v>
      </c>
      <c r="B10" s="7">
        <v>3.0</v>
      </c>
      <c r="C10" s="5" t="s">
        <v>17</v>
      </c>
      <c r="D10" s="5" t="s">
        <v>22</v>
      </c>
    </row>
    <row r="11">
      <c r="A11" s="5" t="s">
        <v>23</v>
      </c>
      <c r="B11" s="7">
        <v>70.0</v>
      </c>
      <c r="C11" s="5" t="s">
        <v>17</v>
      </c>
      <c r="D11" s="5" t="s">
        <v>24</v>
      </c>
    </row>
    <row r="12">
      <c r="A12" s="5" t="s">
        <v>25</v>
      </c>
      <c r="B12" s="7">
        <v>32.0</v>
      </c>
      <c r="C12" s="5" t="s">
        <v>17</v>
      </c>
      <c r="D12" s="5" t="s">
        <v>26</v>
      </c>
    </row>
    <row r="13">
      <c r="A13" s="5" t="s">
        <v>27</v>
      </c>
      <c r="B13" s="6">
        <v>0.5</v>
      </c>
      <c r="C13" s="5" t="s">
        <v>28</v>
      </c>
      <c r="D13" s="5" t="s">
        <v>29</v>
      </c>
    </row>
    <row r="14">
      <c r="A14" s="5" t="s">
        <v>30</v>
      </c>
      <c r="B14" s="8">
        <v>550.0</v>
      </c>
      <c r="C14" s="5" t="s">
        <v>31</v>
      </c>
      <c r="D14" s="5" t="s">
        <v>32</v>
      </c>
    </row>
    <row r="15">
      <c r="A15" s="5" t="s">
        <v>33</v>
      </c>
      <c r="B15" s="6">
        <v>2500.0</v>
      </c>
      <c r="C15" s="5" t="s">
        <v>34</v>
      </c>
      <c r="D15" s="5" t="s">
        <v>35</v>
      </c>
    </row>
    <row r="16">
      <c r="A16" s="5" t="s">
        <v>36</v>
      </c>
      <c r="B16" s="6">
        <v>0.12</v>
      </c>
      <c r="C16" s="5" t="s">
        <v>28</v>
      </c>
      <c r="D16" s="5" t="s">
        <v>37</v>
      </c>
    </row>
    <row r="17">
      <c r="A17" s="5" t="s">
        <v>38</v>
      </c>
      <c r="B17" s="8">
        <v>350.0</v>
      </c>
      <c r="C17" s="5" t="s">
        <v>31</v>
      </c>
      <c r="D17" s="5" t="s">
        <v>39</v>
      </c>
    </row>
    <row r="18">
      <c r="A18" s="5" t="s">
        <v>40</v>
      </c>
      <c r="B18" s="6">
        <v>1600.0</v>
      </c>
      <c r="C18" s="5" t="s">
        <v>34</v>
      </c>
      <c r="D18" s="5" t="s">
        <v>41</v>
      </c>
    </row>
    <row r="19">
      <c r="A19" s="5" t="s">
        <v>42</v>
      </c>
      <c r="B19" s="6">
        <v>273.15</v>
      </c>
      <c r="C19" s="5" t="s">
        <v>6</v>
      </c>
      <c r="D19" s="5" t="s">
        <v>43</v>
      </c>
    </row>
    <row r="20">
      <c r="A20" s="5" t="s">
        <v>44</v>
      </c>
      <c r="B20" s="9">
        <v>1.6558E-4</v>
      </c>
      <c r="C20" s="5" t="s">
        <v>45</v>
      </c>
      <c r="D20" s="5" t="s">
        <v>46</v>
      </c>
    </row>
    <row r="21" ht="15.75" customHeight="1">
      <c r="A21" s="5" t="s">
        <v>47</v>
      </c>
      <c r="B21" s="10">
        <v>1.0E-10</v>
      </c>
      <c r="C21" s="5" t="s">
        <v>48</v>
      </c>
      <c r="D21" s="5" t="s">
        <v>49</v>
      </c>
    </row>
    <row r="22" ht="15.75" customHeight="1">
      <c r="A22" s="5" t="s">
        <v>50</v>
      </c>
      <c r="B22" s="7">
        <v>0.4</v>
      </c>
      <c r="C22" s="5" t="s">
        <v>51</v>
      </c>
      <c r="D22" s="5" t="s">
        <v>52</v>
      </c>
    </row>
    <row r="23" ht="15.75" customHeight="1">
      <c r="A23" s="5" t="s">
        <v>53</v>
      </c>
      <c r="B23" s="8">
        <v>1000.0</v>
      </c>
      <c r="C23" s="5" t="s">
        <v>31</v>
      </c>
      <c r="D23" s="5" t="s">
        <v>54</v>
      </c>
    </row>
    <row r="24" ht="15.75" customHeight="1">
      <c r="A24" s="5" t="s">
        <v>55</v>
      </c>
      <c r="B24" s="6">
        <v>736.57</v>
      </c>
      <c r="C24" s="5" t="s">
        <v>14</v>
      </c>
      <c r="D24" s="5" t="s">
        <v>56</v>
      </c>
    </row>
    <row r="25" ht="15.75" customHeight="1">
      <c r="A25" s="5" t="s">
        <v>57</v>
      </c>
      <c r="B25" s="7">
        <v>250000.0</v>
      </c>
      <c r="C25" s="5" t="s">
        <v>58</v>
      </c>
      <c r="D25" s="5" t="s">
        <v>59</v>
      </c>
    </row>
    <row r="26" ht="15.75" customHeight="1">
      <c r="A26" s="5" t="s">
        <v>60</v>
      </c>
      <c r="B26" s="9">
        <v>1.8223E-5</v>
      </c>
      <c r="C26" s="5" t="s">
        <v>45</v>
      </c>
      <c r="D26" s="5" t="s">
        <v>61</v>
      </c>
    </row>
    <row r="27" ht="15.75" customHeight="1"/>
    <row r="28" ht="15.75" customHeight="1"/>
    <row r="29" ht="15.75" customHeight="1">
      <c r="A29" s="1" t="s">
        <v>62</v>
      </c>
      <c r="B29" s="2"/>
      <c r="C29" s="2"/>
      <c r="D29" s="3"/>
    </row>
    <row r="30" ht="15.75" customHeight="1"/>
    <row r="31" ht="15.75" customHeight="1">
      <c r="A31" s="4" t="s">
        <v>1</v>
      </c>
      <c r="B31" s="4" t="s">
        <v>2</v>
      </c>
      <c r="C31" s="4" t="s">
        <v>3</v>
      </c>
      <c r="D31" s="4" t="s">
        <v>4</v>
      </c>
    </row>
    <row r="32" ht="15.75" customHeight="1">
      <c r="A32" s="5" t="s">
        <v>63</v>
      </c>
      <c r="B32" s="11">
        <f>B14*B20</f>
        <v>0.091069</v>
      </c>
      <c r="C32" s="5" t="s">
        <v>64</v>
      </c>
      <c r="D32" s="5" t="s">
        <v>65</v>
      </c>
    </row>
    <row r="33" ht="15.75" customHeight="1">
      <c r="A33" s="5" t="s">
        <v>66</v>
      </c>
      <c r="B33" s="12">
        <f>B32*B15*(B19-B5)</f>
        <v>2276.725</v>
      </c>
      <c r="C33" s="5" t="s">
        <v>67</v>
      </c>
      <c r="D33" s="5" t="s">
        <v>68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9:D2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8.0"/>
    <col customWidth="1" min="4" max="4" width="52.0"/>
    <col customWidth="1" min="5" max="26" width="9.0"/>
  </cols>
  <sheetData>
    <row r="1">
      <c r="A1" s="1" t="s">
        <v>69</v>
      </c>
      <c r="B1" s="2"/>
      <c r="C1" s="2"/>
      <c r="D1" s="3"/>
    </row>
    <row r="3">
      <c r="A3" s="4" t="s">
        <v>70</v>
      </c>
      <c r="B3" s="4" t="s">
        <v>71</v>
      </c>
      <c r="C3" s="4" t="s">
        <v>72</v>
      </c>
      <c r="D3" s="4" t="s">
        <v>4</v>
      </c>
    </row>
    <row r="4">
      <c r="A4" s="13">
        <v>0.0</v>
      </c>
      <c r="B4" s="12">
        <v>0.010055</v>
      </c>
      <c r="C4" s="12">
        <f>Inputs!$B$33</f>
        <v>2276.725</v>
      </c>
      <c r="D4" s="5" t="s">
        <v>73</v>
      </c>
    </row>
    <row r="5">
      <c r="A5" s="13">
        <v>20.0</v>
      </c>
      <c r="B5" s="12">
        <v>61.761</v>
      </c>
      <c r="C5" s="12">
        <f>Inputs!$B$33</f>
        <v>2276.725</v>
      </c>
      <c r="D5" s="5" t="s">
        <v>73</v>
      </c>
    </row>
    <row r="6">
      <c r="A6" s="13">
        <v>40.0</v>
      </c>
      <c r="B6" s="12">
        <v>123.22</v>
      </c>
      <c r="C6" s="12">
        <f>Inputs!$B$33</f>
        <v>2276.725</v>
      </c>
      <c r="D6" s="5" t="s">
        <v>73</v>
      </c>
    </row>
    <row r="7">
      <c r="A7" s="13">
        <v>60.0</v>
      </c>
      <c r="B7" s="12">
        <v>204.75</v>
      </c>
      <c r="C7" s="12">
        <f>Inputs!$B$33</f>
        <v>2276.725</v>
      </c>
      <c r="D7" s="5" t="s">
        <v>73</v>
      </c>
    </row>
    <row r="8">
      <c r="A8" s="13">
        <v>80.0</v>
      </c>
      <c r="B8" s="12">
        <v>277.41</v>
      </c>
      <c r="C8" s="12">
        <f>Inputs!$B$33</f>
        <v>2276.725</v>
      </c>
      <c r="D8" s="5" t="s">
        <v>73</v>
      </c>
    </row>
    <row r="9">
      <c r="A9" s="13">
        <v>100.0</v>
      </c>
      <c r="B9" s="12">
        <v>349.95</v>
      </c>
      <c r="C9" s="12">
        <f>Inputs!$B$33</f>
        <v>2276.725</v>
      </c>
      <c r="D9" s="5" t="s">
        <v>73</v>
      </c>
    </row>
    <row r="10">
      <c r="A10" s="13">
        <v>120.0</v>
      </c>
      <c r="B10" s="12">
        <v>421.72</v>
      </c>
      <c r="C10" s="12">
        <f>Inputs!$B$33</f>
        <v>2276.725</v>
      </c>
      <c r="D10" s="5" t="s">
        <v>73</v>
      </c>
    </row>
    <row r="11">
      <c r="A11" s="13">
        <v>140.0</v>
      </c>
      <c r="B11" s="12">
        <v>492.99</v>
      </c>
      <c r="C11" s="12">
        <f>Inputs!$B$33</f>
        <v>2276.725</v>
      </c>
      <c r="D11" s="5" t="s">
        <v>73</v>
      </c>
    </row>
    <row r="12">
      <c r="A12" s="13">
        <v>160.0</v>
      </c>
      <c r="B12" s="12">
        <v>562.14</v>
      </c>
      <c r="C12" s="12">
        <f>Inputs!$B$33</f>
        <v>2276.725</v>
      </c>
      <c r="D12" s="5" t="s">
        <v>73</v>
      </c>
    </row>
    <row r="13">
      <c r="A13" s="13">
        <v>180.0</v>
      </c>
      <c r="B13" s="12">
        <v>631.29</v>
      </c>
      <c r="C13" s="12">
        <f>Inputs!$B$33</f>
        <v>2276.725</v>
      </c>
      <c r="D13" s="5" t="s">
        <v>73</v>
      </c>
    </row>
    <row r="14">
      <c r="A14" s="13">
        <v>200.0</v>
      </c>
      <c r="B14" s="12">
        <v>700.43</v>
      </c>
      <c r="C14" s="12">
        <f>Inputs!$B$33</f>
        <v>2276.725</v>
      </c>
      <c r="D14" s="5" t="s">
        <v>73</v>
      </c>
    </row>
    <row r="15">
      <c r="A15" s="13">
        <v>220.0</v>
      </c>
      <c r="B15" s="12">
        <v>768.02</v>
      </c>
      <c r="C15" s="12">
        <f>Inputs!$B$33</f>
        <v>2276.725</v>
      </c>
      <c r="D15" s="5" t="s">
        <v>73</v>
      </c>
    </row>
    <row r="16">
      <c r="A16" s="13">
        <v>240.0</v>
      </c>
      <c r="B16" s="12">
        <v>832.03</v>
      </c>
      <c r="C16" s="12">
        <f>Inputs!$B$33</f>
        <v>2276.725</v>
      </c>
      <c r="D16" s="5" t="s">
        <v>73</v>
      </c>
    </row>
    <row r="17">
      <c r="A17" s="13">
        <v>260.0</v>
      </c>
      <c r="B17" s="12">
        <v>896.04</v>
      </c>
      <c r="C17" s="12">
        <f>Inputs!$B$33</f>
        <v>2276.725</v>
      </c>
      <c r="D17" s="5" t="s">
        <v>73</v>
      </c>
    </row>
    <row r="18">
      <c r="A18" s="13">
        <v>280.0</v>
      </c>
      <c r="B18" s="12">
        <v>960.05</v>
      </c>
      <c r="C18" s="12">
        <f>Inputs!$B$33</f>
        <v>2276.725</v>
      </c>
      <c r="D18" s="5" t="s">
        <v>73</v>
      </c>
    </row>
    <row r="19">
      <c r="A19" s="13">
        <v>300.0</v>
      </c>
      <c r="B19" s="12">
        <v>1024.1</v>
      </c>
      <c r="C19" s="12">
        <f>Inputs!$B$33</f>
        <v>2276.725</v>
      </c>
      <c r="D19" s="5" t="s">
        <v>73</v>
      </c>
    </row>
    <row r="20">
      <c r="A20" s="13">
        <v>320.0</v>
      </c>
      <c r="B20" s="12">
        <v>1088.1</v>
      </c>
      <c r="C20" s="12">
        <f>Inputs!$B$33</f>
        <v>2276.725</v>
      </c>
      <c r="D20" s="5" t="s">
        <v>73</v>
      </c>
    </row>
    <row r="21" ht="15.75" customHeight="1">
      <c r="A21" s="13">
        <v>340.0</v>
      </c>
      <c r="B21" s="12">
        <v>1152.1</v>
      </c>
      <c r="C21" s="12">
        <f>Inputs!$B$33</f>
        <v>2276.725</v>
      </c>
      <c r="D21" s="5" t="s">
        <v>73</v>
      </c>
    </row>
    <row r="22" ht="15.75" customHeight="1">
      <c r="A22" s="13">
        <v>360.0</v>
      </c>
      <c r="B22" s="12">
        <v>1216.1</v>
      </c>
      <c r="C22" s="12">
        <f>Inputs!$B$33</f>
        <v>2276.725</v>
      </c>
      <c r="D22" s="5" t="s">
        <v>73</v>
      </c>
    </row>
    <row r="23" ht="15.75" customHeight="1">
      <c r="A23" s="13">
        <v>380.0</v>
      </c>
      <c r="B23" s="12">
        <v>1277.6</v>
      </c>
      <c r="C23" s="12">
        <f>Inputs!$B$33</f>
        <v>2276.725</v>
      </c>
      <c r="D23" s="5" t="s">
        <v>73</v>
      </c>
    </row>
    <row r="24" ht="15.75" customHeight="1">
      <c r="A24" s="13">
        <v>400.0</v>
      </c>
      <c r="B24" s="12">
        <v>1336.9</v>
      </c>
      <c r="C24" s="12">
        <f>Inputs!$B$33</f>
        <v>2276.725</v>
      </c>
      <c r="D24" s="5" t="s">
        <v>73</v>
      </c>
    </row>
    <row r="25" ht="15.75" customHeight="1">
      <c r="A25" s="13">
        <v>420.0</v>
      </c>
      <c r="B25" s="12">
        <v>1396.3</v>
      </c>
      <c r="C25" s="12">
        <f>Inputs!$B$33</f>
        <v>2276.725</v>
      </c>
      <c r="D25" s="5" t="s">
        <v>73</v>
      </c>
    </row>
    <row r="26" ht="15.75" customHeight="1">
      <c r="A26" s="13">
        <v>440.0</v>
      </c>
      <c r="B26" s="12">
        <v>1455.6</v>
      </c>
      <c r="C26" s="12">
        <f>Inputs!$B$33</f>
        <v>2276.725</v>
      </c>
      <c r="D26" s="5" t="s">
        <v>73</v>
      </c>
    </row>
    <row r="27" ht="15.75" customHeight="1">
      <c r="A27" s="13">
        <v>460.0</v>
      </c>
      <c r="B27" s="12">
        <v>1514.9</v>
      </c>
      <c r="C27" s="12">
        <f>Inputs!$B$33</f>
        <v>2276.725</v>
      </c>
      <c r="D27" s="5" t="s">
        <v>73</v>
      </c>
    </row>
    <row r="28" ht="15.75" customHeight="1">
      <c r="A28" s="13">
        <v>480.0</v>
      </c>
      <c r="B28" s="12">
        <v>1574.2</v>
      </c>
      <c r="C28" s="12">
        <f>Inputs!$B$33</f>
        <v>2276.725</v>
      </c>
      <c r="D28" s="5" t="s">
        <v>73</v>
      </c>
    </row>
    <row r="29" ht="15.75" customHeight="1">
      <c r="A29" s="13">
        <v>500.0</v>
      </c>
      <c r="B29" s="12">
        <v>1633.5</v>
      </c>
      <c r="C29" s="12">
        <f>Inputs!$B$33</f>
        <v>2276.725</v>
      </c>
      <c r="D29" s="5" t="s">
        <v>73</v>
      </c>
    </row>
    <row r="30" ht="15.75" customHeight="1">
      <c r="A30" s="13">
        <v>520.0</v>
      </c>
      <c r="B30" s="12">
        <v>1692.8</v>
      </c>
      <c r="C30" s="12">
        <f>Inputs!$B$33</f>
        <v>2276.725</v>
      </c>
      <c r="D30" s="5" t="s">
        <v>73</v>
      </c>
    </row>
    <row r="31" ht="15.75" customHeight="1">
      <c r="A31" s="13">
        <v>540.0</v>
      </c>
      <c r="B31" s="12">
        <v>1748.5</v>
      </c>
      <c r="C31" s="12">
        <f>Inputs!$B$33</f>
        <v>2276.725</v>
      </c>
      <c r="D31" s="5" t="s">
        <v>73</v>
      </c>
    </row>
    <row r="32" ht="15.75" customHeight="1">
      <c r="A32" s="13">
        <v>560.0</v>
      </c>
      <c r="B32" s="12">
        <v>1802.9</v>
      </c>
      <c r="C32" s="12">
        <f>Inputs!$B$33</f>
        <v>2276.725</v>
      </c>
      <c r="D32" s="5" t="s">
        <v>73</v>
      </c>
    </row>
    <row r="33" ht="15.75" customHeight="1">
      <c r="A33" s="13">
        <v>580.0</v>
      </c>
      <c r="B33" s="12">
        <v>1857.4</v>
      </c>
      <c r="C33" s="12">
        <f>Inputs!$B$33</f>
        <v>2276.725</v>
      </c>
      <c r="D33" s="5" t="s">
        <v>73</v>
      </c>
    </row>
    <row r="34" ht="15.75" customHeight="1">
      <c r="A34" s="13">
        <v>600.0</v>
      </c>
      <c r="B34" s="12">
        <v>1911.8</v>
      </c>
      <c r="C34" s="12">
        <f>Inputs!$B$33</f>
        <v>2276.725</v>
      </c>
      <c r="D34" s="5" t="s">
        <v>73</v>
      </c>
    </row>
    <row r="35" ht="15.75" customHeight="1">
      <c r="A35" s="13">
        <v>620.0</v>
      </c>
      <c r="B35" s="12">
        <v>1966.3</v>
      </c>
      <c r="C35" s="12">
        <f>Inputs!$B$33</f>
        <v>2276.725</v>
      </c>
      <c r="D35" s="5" t="s">
        <v>73</v>
      </c>
    </row>
    <row r="36" ht="15.75" customHeight="1">
      <c r="A36" s="13">
        <v>640.0</v>
      </c>
      <c r="B36" s="12">
        <v>2020.7</v>
      </c>
      <c r="C36" s="12">
        <f>Inputs!$B$33</f>
        <v>2276.725</v>
      </c>
      <c r="D36" s="5" t="s">
        <v>73</v>
      </c>
    </row>
    <row r="37" ht="15.75" customHeight="1">
      <c r="A37" s="13">
        <v>660.0</v>
      </c>
      <c r="B37" s="12">
        <v>2075.2</v>
      </c>
      <c r="C37" s="12">
        <f>Inputs!$B$33</f>
        <v>2276.725</v>
      </c>
      <c r="D37" s="5" t="s">
        <v>73</v>
      </c>
    </row>
    <row r="38" ht="15.75" customHeight="1">
      <c r="A38" s="13">
        <v>680.0</v>
      </c>
      <c r="B38" s="12">
        <v>2129.6</v>
      </c>
      <c r="C38" s="12">
        <f>Inputs!$B$33</f>
        <v>2276.725</v>
      </c>
      <c r="D38" s="5" t="s">
        <v>73</v>
      </c>
    </row>
    <row r="39" ht="15.75" customHeight="1">
      <c r="A39" s="13">
        <v>700.0</v>
      </c>
      <c r="B39" s="12">
        <v>2184.1</v>
      </c>
      <c r="C39" s="12">
        <f>Inputs!$B$33</f>
        <v>2276.725</v>
      </c>
      <c r="D39" s="5" t="s">
        <v>73</v>
      </c>
    </row>
    <row r="40" ht="15.75" customHeight="1">
      <c r="A40" s="13">
        <v>720.0</v>
      </c>
      <c r="B40" s="12">
        <v>2235.3</v>
      </c>
      <c r="C40" s="12">
        <f>Inputs!$B$33</f>
        <v>2276.725</v>
      </c>
      <c r="D40" s="5" t="s">
        <v>73</v>
      </c>
    </row>
    <row r="41" ht="15.75" customHeight="1">
      <c r="A41" s="13">
        <v>740.0</v>
      </c>
      <c r="B41" s="12">
        <v>2285.3</v>
      </c>
      <c r="C41" s="12">
        <f>Inputs!$B$33</f>
        <v>2276.725</v>
      </c>
      <c r="D41" s="5" t="s">
        <v>73</v>
      </c>
    </row>
    <row r="42" ht="15.75" customHeight="1">
      <c r="A42" s="13">
        <v>760.0</v>
      </c>
      <c r="B42" s="12">
        <v>2335.3</v>
      </c>
      <c r="C42" s="12">
        <f>Inputs!$B$33</f>
        <v>2276.725</v>
      </c>
      <c r="D42" s="5" t="s">
        <v>73</v>
      </c>
    </row>
    <row r="43" ht="15.75" customHeight="1">
      <c r="A43" s="13">
        <v>780.0</v>
      </c>
      <c r="B43" s="12">
        <v>2385.4</v>
      </c>
      <c r="C43" s="12">
        <f>Inputs!$B$33</f>
        <v>2276.725</v>
      </c>
      <c r="D43" s="5" t="s">
        <v>73</v>
      </c>
    </row>
    <row r="44" ht="15.75" customHeight="1">
      <c r="A44" s="13">
        <v>800.0</v>
      </c>
      <c r="B44" s="12">
        <v>2435.4</v>
      </c>
      <c r="C44" s="12">
        <f>Inputs!$B$33</f>
        <v>2276.725</v>
      </c>
      <c r="D44" s="5" t="s">
        <v>73</v>
      </c>
    </row>
    <row r="45" ht="15.75" customHeight="1">
      <c r="A45" s="13">
        <v>820.0</v>
      </c>
      <c r="B45" s="12">
        <v>2485.5</v>
      </c>
      <c r="C45" s="12">
        <f>Inputs!$B$33</f>
        <v>2276.725</v>
      </c>
      <c r="D45" s="5" t="s">
        <v>73</v>
      </c>
    </row>
    <row r="46" ht="15.75" customHeight="1">
      <c r="A46" s="13">
        <v>840.0</v>
      </c>
      <c r="B46" s="12">
        <v>2535.5</v>
      </c>
      <c r="C46" s="12">
        <f>Inputs!$B$33</f>
        <v>2276.725</v>
      </c>
      <c r="D46" s="5" t="s">
        <v>73</v>
      </c>
    </row>
    <row r="47" ht="15.75" customHeight="1">
      <c r="A47" s="13">
        <v>860.0</v>
      </c>
      <c r="B47" s="12">
        <v>2585.6</v>
      </c>
      <c r="C47" s="12">
        <f>Inputs!$B$33</f>
        <v>2276.725</v>
      </c>
      <c r="D47" s="5" t="s">
        <v>73</v>
      </c>
    </row>
    <row r="48" ht="15.75" customHeight="1">
      <c r="A48" s="13">
        <v>880.0</v>
      </c>
      <c r="B48" s="12">
        <v>2635.6</v>
      </c>
      <c r="C48" s="12">
        <f>Inputs!$B$33</f>
        <v>2276.725</v>
      </c>
      <c r="D48" s="5" t="s">
        <v>73</v>
      </c>
    </row>
    <row r="49" ht="15.75" customHeight="1">
      <c r="A49" s="13">
        <v>900.0</v>
      </c>
      <c r="B49" s="12">
        <v>2682.7</v>
      </c>
      <c r="C49" s="12">
        <f>Inputs!$B$33</f>
        <v>2276.725</v>
      </c>
      <c r="D49" s="5" t="s">
        <v>73</v>
      </c>
    </row>
    <row r="50" ht="15.75" customHeight="1">
      <c r="A50" s="13">
        <v>920.0</v>
      </c>
      <c r="B50" s="12">
        <v>2728.8</v>
      </c>
      <c r="C50" s="12">
        <f>Inputs!$B$33</f>
        <v>2276.725</v>
      </c>
      <c r="D50" s="5" t="s">
        <v>73</v>
      </c>
    </row>
    <row r="51" ht="15.75" customHeight="1">
      <c r="A51" s="13">
        <v>940.0</v>
      </c>
      <c r="B51" s="12">
        <v>2774.8</v>
      </c>
      <c r="C51" s="12">
        <f>Inputs!$B$33</f>
        <v>2276.725</v>
      </c>
      <c r="D51" s="5" t="s">
        <v>73</v>
      </c>
    </row>
    <row r="52" ht="15.75" customHeight="1">
      <c r="A52" s="13">
        <v>960.0</v>
      </c>
      <c r="B52" s="12">
        <v>2820.9</v>
      </c>
      <c r="C52" s="12">
        <f>Inputs!$B$33</f>
        <v>2276.725</v>
      </c>
      <c r="D52" s="5" t="s">
        <v>73</v>
      </c>
    </row>
    <row r="53" ht="15.75" customHeight="1">
      <c r="A53" s="13">
        <v>980.0</v>
      </c>
      <c r="B53" s="12">
        <v>2866.9</v>
      </c>
      <c r="C53" s="12">
        <f>Inputs!$B$33</f>
        <v>2276.725</v>
      </c>
      <c r="D53" s="5" t="s">
        <v>73</v>
      </c>
    </row>
    <row r="54" ht="15.75" customHeight="1">
      <c r="A54" s="13">
        <v>1000.0</v>
      </c>
      <c r="B54" s="12">
        <v>2913.0</v>
      </c>
      <c r="C54" s="12">
        <f>Inputs!$B$33</f>
        <v>2276.725</v>
      </c>
      <c r="D54" s="5" t="s">
        <v>73</v>
      </c>
    </row>
    <row r="55" ht="15.75" customHeight="1">
      <c r="A55" s="13">
        <v>1020.0</v>
      </c>
      <c r="B55" s="12">
        <v>2959.0</v>
      </c>
      <c r="C55" s="12">
        <f>Inputs!$B$33</f>
        <v>2276.725</v>
      </c>
      <c r="D55" s="5" t="s">
        <v>73</v>
      </c>
    </row>
    <row r="56" ht="15.75" customHeight="1">
      <c r="A56" s="13">
        <v>1040.0</v>
      </c>
      <c r="B56" s="12">
        <v>3005.1</v>
      </c>
      <c r="C56" s="12">
        <f>Inputs!$B$33</f>
        <v>2276.725</v>
      </c>
      <c r="D56" s="5" t="s">
        <v>73</v>
      </c>
    </row>
    <row r="57" ht="15.75" customHeight="1">
      <c r="A57" s="13">
        <v>1060.0</v>
      </c>
      <c r="B57" s="12">
        <v>3051.1</v>
      </c>
      <c r="C57" s="12">
        <f>Inputs!$B$33</f>
        <v>2276.725</v>
      </c>
      <c r="D57" s="5" t="s">
        <v>73</v>
      </c>
    </row>
    <row r="58" ht="15.75" customHeight="1">
      <c r="A58" s="13">
        <v>1080.0</v>
      </c>
      <c r="B58" s="12">
        <v>3096.2</v>
      </c>
      <c r="C58" s="12">
        <f>Inputs!$B$33</f>
        <v>2276.725</v>
      </c>
      <c r="D58" s="5" t="s">
        <v>73</v>
      </c>
    </row>
    <row r="59" ht="15.75" customHeight="1">
      <c r="A59" s="13">
        <v>1100.0</v>
      </c>
      <c r="B59" s="12">
        <v>3140.6</v>
      </c>
      <c r="C59" s="12">
        <f>Inputs!$B$33</f>
        <v>2276.725</v>
      </c>
      <c r="D59" s="5" t="s">
        <v>73</v>
      </c>
    </row>
    <row r="60" ht="15.75" customHeight="1">
      <c r="A60" s="13">
        <v>1120.0</v>
      </c>
      <c r="B60" s="12">
        <v>3184.7</v>
      </c>
      <c r="C60" s="12">
        <f>Inputs!$B$33</f>
        <v>2276.725</v>
      </c>
      <c r="D60" s="5" t="s">
        <v>73</v>
      </c>
    </row>
    <row r="61" ht="15.75" customHeight="1">
      <c r="A61" s="13">
        <v>1140.0</v>
      </c>
      <c r="B61" s="12">
        <v>3228.6</v>
      </c>
      <c r="C61" s="12">
        <f>Inputs!$B$33</f>
        <v>2276.725</v>
      </c>
      <c r="D61" s="5" t="s">
        <v>73</v>
      </c>
    </row>
    <row r="62" ht="15.75" customHeight="1">
      <c r="A62" s="13">
        <v>1160.0</v>
      </c>
      <c r="B62" s="12">
        <v>3272.2</v>
      </c>
      <c r="C62" s="12">
        <f>Inputs!$B$33</f>
        <v>2276.725</v>
      </c>
      <c r="D62" s="5" t="s">
        <v>73</v>
      </c>
    </row>
    <row r="63" ht="15.75" customHeight="1">
      <c r="A63" s="13">
        <v>1180.0</v>
      </c>
      <c r="B63" s="12">
        <v>3315.5</v>
      </c>
      <c r="C63" s="12">
        <f>Inputs!$B$33</f>
        <v>2276.725</v>
      </c>
      <c r="D63" s="5" t="s">
        <v>73</v>
      </c>
    </row>
    <row r="64" ht="15.75" customHeight="1">
      <c r="A64" s="13">
        <v>1200.0</v>
      </c>
      <c r="B64" s="12">
        <v>3358.5</v>
      </c>
      <c r="C64" s="12">
        <f>Inputs!$B$33</f>
        <v>2276.725</v>
      </c>
      <c r="D64" s="5" t="s">
        <v>73</v>
      </c>
    </row>
    <row r="65" ht="15.75" customHeight="1">
      <c r="A65" s="13">
        <v>1220.0</v>
      </c>
      <c r="B65" s="12">
        <v>3401.2</v>
      </c>
      <c r="C65" s="12">
        <f>Inputs!$B$33</f>
        <v>2276.725</v>
      </c>
      <c r="D65" s="5" t="s">
        <v>73</v>
      </c>
    </row>
    <row r="66" ht="15.75" customHeight="1">
      <c r="A66" s="13">
        <v>1240.0</v>
      </c>
      <c r="B66" s="12">
        <v>3443.7</v>
      </c>
      <c r="C66" s="12">
        <f>Inputs!$B$33</f>
        <v>2276.725</v>
      </c>
      <c r="D66" s="5" t="s">
        <v>73</v>
      </c>
    </row>
    <row r="67" ht="15.75" customHeight="1">
      <c r="A67" s="13">
        <v>1260.0</v>
      </c>
      <c r="B67" s="12">
        <v>3485.6</v>
      </c>
      <c r="C67" s="12">
        <f>Inputs!$B$33</f>
        <v>2276.725</v>
      </c>
      <c r="D67" s="5" t="s">
        <v>73</v>
      </c>
    </row>
    <row r="68" ht="15.75" customHeight="1">
      <c r="A68" s="13">
        <v>1280.0</v>
      </c>
      <c r="B68" s="12">
        <v>3527.2</v>
      </c>
      <c r="C68" s="12">
        <f>Inputs!$B$33</f>
        <v>2276.725</v>
      </c>
      <c r="D68" s="5" t="s">
        <v>73</v>
      </c>
    </row>
    <row r="69" ht="15.75" customHeight="1">
      <c r="A69" s="13">
        <v>1300.0</v>
      </c>
      <c r="B69" s="12">
        <v>3568.4</v>
      </c>
      <c r="C69" s="12">
        <f>Inputs!$B$33</f>
        <v>2276.725</v>
      </c>
      <c r="D69" s="5" t="s">
        <v>73</v>
      </c>
    </row>
    <row r="70" ht="15.75" customHeight="1">
      <c r="A70" s="13">
        <v>1320.0</v>
      </c>
      <c r="B70" s="12">
        <v>3609.2</v>
      </c>
      <c r="C70" s="12">
        <f>Inputs!$B$33</f>
        <v>2276.725</v>
      </c>
      <c r="D70" s="5" t="s">
        <v>73</v>
      </c>
    </row>
    <row r="71" ht="15.75" customHeight="1">
      <c r="A71" s="13">
        <v>1340.0</v>
      </c>
      <c r="B71" s="12">
        <v>3649.7</v>
      </c>
      <c r="C71" s="12">
        <f>Inputs!$B$33</f>
        <v>2276.725</v>
      </c>
      <c r="D71" s="5" t="s">
        <v>73</v>
      </c>
    </row>
    <row r="72" ht="15.75" customHeight="1">
      <c r="A72" s="13">
        <v>1360.0</v>
      </c>
      <c r="B72" s="12">
        <v>3689.9</v>
      </c>
      <c r="C72" s="12">
        <f>Inputs!$B$33</f>
        <v>2276.725</v>
      </c>
      <c r="D72" s="5" t="s">
        <v>73</v>
      </c>
    </row>
    <row r="73" ht="15.75" customHeight="1">
      <c r="A73" s="13">
        <v>1380.0</v>
      </c>
      <c r="B73" s="12">
        <v>3729.7</v>
      </c>
      <c r="C73" s="12">
        <f>Inputs!$B$33</f>
        <v>2276.725</v>
      </c>
      <c r="D73" s="5" t="s">
        <v>73</v>
      </c>
    </row>
    <row r="74" ht="15.75" customHeight="1">
      <c r="A74" s="13">
        <v>1400.0</v>
      </c>
      <c r="B74" s="12">
        <v>3769.2</v>
      </c>
      <c r="C74" s="12">
        <f>Inputs!$B$33</f>
        <v>2276.725</v>
      </c>
      <c r="D74" s="5" t="s">
        <v>73</v>
      </c>
    </row>
    <row r="75" ht="15.75" customHeight="1">
      <c r="A75" s="13">
        <v>1420.0</v>
      </c>
      <c r="B75" s="12">
        <v>3808.4</v>
      </c>
      <c r="C75" s="12">
        <f>Inputs!$B$33</f>
        <v>2276.725</v>
      </c>
      <c r="D75" s="5" t="s">
        <v>73</v>
      </c>
    </row>
    <row r="76" ht="15.75" customHeight="1">
      <c r="A76" s="13">
        <v>1440.0</v>
      </c>
      <c r="B76" s="12">
        <v>3847.2</v>
      </c>
      <c r="C76" s="12">
        <f>Inputs!$B$33</f>
        <v>2276.725</v>
      </c>
      <c r="D76" s="5" t="s">
        <v>73</v>
      </c>
    </row>
    <row r="77" ht="15.75" customHeight="1">
      <c r="A77" s="13">
        <v>1460.0</v>
      </c>
      <c r="B77" s="12">
        <v>3885.6</v>
      </c>
      <c r="C77" s="12">
        <f>Inputs!$B$33</f>
        <v>2276.725</v>
      </c>
      <c r="D77" s="5" t="s">
        <v>73</v>
      </c>
    </row>
    <row r="78" ht="15.75" customHeight="1">
      <c r="A78" s="13">
        <v>1480.0</v>
      </c>
      <c r="B78" s="12">
        <v>3923.5</v>
      </c>
      <c r="C78" s="12">
        <f>Inputs!$B$33</f>
        <v>2276.725</v>
      </c>
      <c r="D78" s="5" t="s">
        <v>73</v>
      </c>
    </row>
    <row r="79" ht="15.75" customHeight="1">
      <c r="A79" s="13">
        <v>1500.0</v>
      </c>
      <c r="B79" s="12">
        <v>3961.3</v>
      </c>
      <c r="C79" s="12">
        <f>Inputs!$B$33</f>
        <v>2276.725</v>
      </c>
      <c r="D79" s="5" t="s">
        <v>73</v>
      </c>
    </row>
    <row r="80" ht="15.75" customHeight="1">
      <c r="A80" s="13">
        <v>1520.0</v>
      </c>
      <c r="B80" s="12">
        <v>3998.6</v>
      </c>
      <c r="C80" s="12">
        <f>Inputs!$B$33</f>
        <v>2276.725</v>
      </c>
      <c r="D80" s="5" t="s">
        <v>73</v>
      </c>
    </row>
    <row r="81" ht="15.75" customHeight="1">
      <c r="A81" s="13">
        <v>1540.0</v>
      </c>
      <c r="B81" s="12">
        <v>4035.6</v>
      </c>
      <c r="C81" s="12">
        <f>Inputs!$B$33</f>
        <v>2276.725</v>
      </c>
      <c r="D81" s="5" t="s">
        <v>73</v>
      </c>
    </row>
    <row r="82" ht="15.75" customHeight="1">
      <c r="A82" s="13">
        <v>1560.0</v>
      </c>
      <c r="B82" s="12">
        <v>4072.2</v>
      </c>
      <c r="C82" s="12">
        <f>Inputs!$B$33</f>
        <v>2276.725</v>
      </c>
      <c r="D82" s="5" t="s">
        <v>73</v>
      </c>
    </row>
    <row r="83" ht="15.75" customHeight="1">
      <c r="A83" s="13">
        <v>1580.0</v>
      </c>
      <c r="B83" s="12">
        <v>4108.5</v>
      </c>
      <c r="C83" s="12">
        <f>Inputs!$B$33</f>
        <v>2276.725</v>
      </c>
      <c r="D83" s="5" t="s">
        <v>73</v>
      </c>
    </row>
    <row r="84" ht="15.75" customHeight="1">
      <c r="A84" s="13">
        <v>1600.0</v>
      </c>
      <c r="B84" s="12">
        <v>4144.4</v>
      </c>
      <c r="C84" s="12">
        <f>Inputs!$B$33</f>
        <v>2276.725</v>
      </c>
      <c r="D84" s="5" t="s">
        <v>73</v>
      </c>
    </row>
    <row r="85" ht="15.75" customHeight="1">
      <c r="A85" s="13">
        <v>1620.0</v>
      </c>
      <c r="B85" s="12">
        <v>4180.0</v>
      </c>
      <c r="C85" s="12">
        <f>Inputs!$B$33</f>
        <v>2276.725</v>
      </c>
      <c r="D85" s="5" t="s">
        <v>73</v>
      </c>
    </row>
    <row r="86" ht="15.75" customHeight="1">
      <c r="A86" s="13">
        <v>1640.0</v>
      </c>
      <c r="B86" s="12">
        <v>4215.3</v>
      </c>
      <c r="C86" s="12">
        <f>Inputs!$B$33</f>
        <v>2276.725</v>
      </c>
      <c r="D86" s="5" t="s">
        <v>73</v>
      </c>
    </row>
    <row r="87" ht="15.75" customHeight="1">
      <c r="A87" s="13">
        <v>1660.0</v>
      </c>
      <c r="B87" s="12">
        <v>4250.3</v>
      </c>
      <c r="C87" s="12">
        <f>Inputs!$B$33</f>
        <v>2276.725</v>
      </c>
      <c r="D87" s="5" t="s">
        <v>73</v>
      </c>
    </row>
    <row r="88" ht="15.75" customHeight="1">
      <c r="A88" s="13">
        <v>1680.0</v>
      </c>
      <c r="B88" s="12">
        <v>4285.0</v>
      </c>
      <c r="C88" s="12">
        <f>Inputs!$B$33</f>
        <v>2276.725</v>
      </c>
      <c r="D88" s="5" t="s">
        <v>73</v>
      </c>
    </row>
    <row r="89" ht="15.75" customHeight="1">
      <c r="A89" s="13">
        <v>1700.0</v>
      </c>
      <c r="B89" s="12">
        <v>4319.3</v>
      </c>
      <c r="C89" s="12">
        <f>Inputs!$B$33</f>
        <v>2276.725</v>
      </c>
      <c r="D89" s="5" t="s">
        <v>73</v>
      </c>
    </row>
    <row r="90" ht="15.75" customHeight="1">
      <c r="A90" s="13">
        <v>1720.0</v>
      </c>
      <c r="B90" s="12">
        <v>4353.2</v>
      </c>
      <c r="C90" s="12">
        <f>Inputs!$B$33</f>
        <v>2276.725</v>
      </c>
      <c r="D90" s="5" t="s">
        <v>73</v>
      </c>
    </row>
    <row r="91" ht="15.75" customHeight="1">
      <c r="A91" s="13">
        <v>1740.0</v>
      </c>
      <c r="B91" s="12">
        <v>4386.8</v>
      </c>
      <c r="C91" s="12">
        <f>Inputs!$B$33</f>
        <v>2276.725</v>
      </c>
      <c r="D91" s="5" t="s">
        <v>73</v>
      </c>
    </row>
    <row r="92" ht="15.75" customHeight="1">
      <c r="A92" s="13">
        <v>1760.0</v>
      </c>
      <c r="B92" s="12">
        <v>4420.1</v>
      </c>
      <c r="C92" s="12">
        <f>Inputs!$B$33</f>
        <v>2276.725</v>
      </c>
      <c r="D92" s="5" t="s">
        <v>73</v>
      </c>
    </row>
    <row r="93" ht="15.75" customHeight="1">
      <c r="A93" s="13">
        <v>1780.0</v>
      </c>
      <c r="B93" s="12">
        <v>4453.1</v>
      </c>
      <c r="C93" s="12">
        <f>Inputs!$B$33</f>
        <v>2276.725</v>
      </c>
      <c r="D93" s="5" t="s">
        <v>73</v>
      </c>
    </row>
    <row r="94" ht="15.75" customHeight="1">
      <c r="A94" s="13">
        <v>1800.0</v>
      </c>
      <c r="B94" s="12">
        <v>4485.8</v>
      </c>
      <c r="C94" s="12">
        <f>Inputs!$B$33</f>
        <v>2276.725</v>
      </c>
      <c r="D94" s="5" t="s">
        <v>73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4" width="12.0"/>
    <col customWidth="1" min="5" max="5" width="10.0"/>
    <col customWidth="1" min="6" max="8" width="12.0"/>
    <col customWidth="1" min="9" max="26" width="9.0"/>
  </cols>
  <sheetData>
    <row r="1">
      <c r="A1" s="1" t="s">
        <v>74</v>
      </c>
      <c r="B1" s="2"/>
      <c r="C1" s="2"/>
      <c r="D1" s="2"/>
      <c r="E1" s="2"/>
      <c r="F1" s="2"/>
      <c r="G1" s="3"/>
    </row>
    <row r="3">
      <c r="A3" s="4" t="s">
        <v>70</v>
      </c>
      <c r="B3" s="4" t="s">
        <v>75</v>
      </c>
      <c r="C3" s="4" t="s">
        <v>76</v>
      </c>
      <c r="E3" s="4" t="s">
        <v>70</v>
      </c>
      <c r="F3" s="4" t="s">
        <v>77</v>
      </c>
      <c r="G3" s="4" t="s">
        <v>78</v>
      </c>
      <c r="H3" s="4" t="s">
        <v>79</v>
      </c>
    </row>
    <row r="4">
      <c r="A4" s="14">
        <v>0.0</v>
      </c>
      <c r="B4" s="15">
        <v>-4.7943</v>
      </c>
      <c r="C4" s="15">
        <f t="shared" ref="C4:C13" si="1">-B4</f>
        <v>4.7943</v>
      </c>
      <c r="E4" s="13">
        <v>0.0</v>
      </c>
      <c r="F4" s="13">
        <v>263.15</v>
      </c>
      <c r="G4" s="13">
        <v>263.17</v>
      </c>
      <c r="H4" s="13">
        <v>263.15</v>
      </c>
    </row>
    <row r="5">
      <c r="A5" s="14">
        <v>10.0</v>
      </c>
      <c r="B5" s="15">
        <v>-4.3619</v>
      </c>
      <c r="C5" s="15">
        <f t="shared" si="1"/>
        <v>4.3619</v>
      </c>
      <c r="E5" s="13">
        <v>10.0</v>
      </c>
      <c r="F5" s="13">
        <v>264.33</v>
      </c>
      <c r="G5" s="13">
        <v>267.03</v>
      </c>
      <c r="H5" s="13">
        <v>264.34</v>
      </c>
    </row>
    <row r="6">
      <c r="A6" s="14">
        <v>20.0</v>
      </c>
      <c r="B6" s="15">
        <v>-4.2914</v>
      </c>
      <c r="C6" s="15">
        <f t="shared" si="1"/>
        <v>4.2914</v>
      </c>
      <c r="E6" s="13">
        <v>20.0</v>
      </c>
      <c r="F6" s="13">
        <v>264.84</v>
      </c>
      <c r="G6" s="13">
        <v>268.2</v>
      </c>
      <c r="H6" s="13">
        <v>264.84</v>
      </c>
    </row>
    <row r="7">
      <c r="A7" s="14">
        <v>30.0</v>
      </c>
      <c r="B7" s="15">
        <v>-4.3135</v>
      </c>
      <c r="C7" s="15">
        <f t="shared" si="1"/>
        <v>4.3135</v>
      </c>
      <c r="E7" s="13">
        <v>30.0</v>
      </c>
      <c r="F7" s="13">
        <v>265.24</v>
      </c>
      <c r="G7" s="13">
        <v>268.98</v>
      </c>
      <c r="H7" s="13">
        <v>265.24</v>
      </c>
    </row>
    <row r="8">
      <c r="A8" s="14">
        <v>40.0</v>
      </c>
      <c r="B8" s="15">
        <v>-4.2261</v>
      </c>
      <c r="C8" s="15">
        <f t="shared" si="1"/>
        <v>4.2261</v>
      </c>
      <c r="E8" s="13">
        <v>40.0</v>
      </c>
      <c r="F8" s="13">
        <v>265.6</v>
      </c>
      <c r="G8" s="13">
        <v>269.6</v>
      </c>
      <c r="H8" s="13">
        <v>265.6</v>
      </c>
    </row>
    <row r="9">
      <c r="A9" s="14">
        <v>50.0</v>
      </c>
      <c r="B9" s="15">
        <v>-4.2148</v>
      </c>
      <c r="C9" s="15">
        <f t="shared" si="1"/>
        <v>4.2148</v>
      </c>
      <c r="E9" s="13">
        <v>50.0</v>
      </c>
      <c r="F9" s="13">
        <v>265.93</v>
      </c>
      <c r="G9" s="13">
        <v>270.12</v>
      </c>
      <c r="H9" s="13">
        <v>265.93</v>
      </c>
    </row>
    <row r="10">
      <c r="A10" s="14">
        <v>60.0</v>
      </c>
      <c r="B10" s="15">
        <v>-4.1225</v>
      </c>
      <c r="C10" s="15">
        <f t="shared" si="1"/>
        <v>4.1225</v>
      </c>
    </row>
    <row r="11">
      <c r="A11" s="14">
        <v>70.0</v>
      </c>
      <c r="B11" s="15">
        <v>-4.1002</v>
      </c>
      <c r="C11" s="15">
        <f t="shared" si="1"/>
        <v>4.1002</v>
      </c>
    </row>
    <row r="12">
      <c r="A12" s="14">
        <v>80.0</v>
      </c>
      <c r="B12" s="15">
        <v>-4.0779</v>
      </c>
      <c r="C12" s="15">
        <f t="shared" si="1"/>
        <v>4.0779</v>
      </c>
    </row>
    <row r="13">
      <c r="A13" s="14">
        <v>90.0</v>
      </c>
      <c r="B13" s="15">
        <v>-4.0193</v>
      </c>
      <c r="C13" s="15">
        <f t="shared" si="1"/>
        <v>4.0193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15.0"/>
    <col customWidth="1" min="4" max="5" width="14.0"/>
    <col customWidth="1" min="6" max="6" width="12.0"/>
    <col customWidth="1" min="7" max="7" width="18.0"/>
    <col customWidth="1" min="8" max="8" width="14.0"/>
    <col customWidth="1" min="9" max="9" width="12.0"/>
    <col customWidth="1" min="10" max="26" width="9.0"/>
  </cols>
  <sheetData>
    <row r="1">
      <c r="A1" s="1" t="s">
        <v>80</v>
      </c>
      <c r="B1" s="2"/>
      <c r="C1" s="2"/>
      <c r="D1" s="2"/>
      <c r="E1" s="2"/>
      <c r="F1" s="2"/>
      <c r="G1" s="2"/>
      <c r="H1" s="2"/>
      <c r="I1" s="3"/>
    </row>
    <row r="3">
      <c r="A3" s="4" t="s">
        <v>70</v>
      </c>
      <c r="B3" s="4" t="s">
        <v>71</v>
      </c>
      <c r="C3" s="4" t="s">
        <v>81</v>
      </c>
      <c r="D3" s="4" t="s">
        <v>82</v>
      </c>
      <c r="E3" s="4" t="s">
        <v>83</v>
      </c>
      <c r="F3" s="4" t="s">
        <v>84</v>
      </c>
      <c r="G3" s="4" t="s">
        <v>85</v>
      </c>
      <c r="H3" s="4" t="s">
        <v>86</v>
      </c>
      <c r="I3" s="4" t="s">
        <v>87</v>
      </c>
    </row>
    <row r="4">
      <c r="A4" s="13">
        <f>Heat_Raw!A4</f>
        <v>0</v>
      </c>
      <c r="B4" s="12">
        <f>Heat_Raw!B4</f>
        <v>0.010055</v>
      </c>
      <c r="C4" s="12">
        <f>Inputs!$B$33</f>
        <v>2276.725</v>
      </c>
      <c r="D4" s="12">
        <f t="shared" ref="D4:D94" si="1">MAX(0,B4-C4)</f>
        <v>0</v>
      </c>
      <c r="E4" s="11">
        <f>D4/Inputs!$B$25</f>
        <v>0</v>
      </c>
      <c r="F4" s="12">
        <f t="shared" ref="F4:F94" si="2">1000*E4</f>
        <v>0</v>
      </c>
      <c r="G4" s="5" t="str">
        <f t="shared" ref="G4:G94" si="3">IF(B4&gt;=C4,"Melting started","Below threshold")</f>
        <v>Below threshold</v>
      </c>
      <c r="H4" s="11">
        <f t="array" ref="H4">MAX(0,E4-IFERROR(INDEX(Sogginess_Calc!$E$4:$E$94,MATCH(A4,Sogginess_Calc!$A$4:$A$94,0)),0))</f>
        <v>0</v>
      </c>
      <c r="I4" s="12">
        <f t="shared" ref="I4:I94" si="4">1000*H4</f>
        <v>0</v>
      </c>
    </row>
    <row r="5">
      <c r="A5" s="13">
        <f>Heat_Raw!A5</f>
        <v>20</v>
      </c>
      <c r="B5" s="12">
        <f>Heat_Raw!B5</f>
        <v>61.761</v>
      </c>
      <c r="C5" s="12">
        <f>Inputs!$B$33</f>
        <v>2276.725</v>
      </c>
      <c r="D5" s="12">
        <f t="shared" si="1"/>
        <v>0</v>
      </c>
      <c r="E5" s="11">
        <f>D5/Inputs!$B$25</f>
        <v>0</v>
      </c>
      <c r="F5" s="12">
        <f t="shared" si="2"/>
        <v>0</v>
      </c>
      <c r="G5" s="5" t="str">
        <f t="shared" si="3"/>
        <v>Below threshold</v>
      </c>
      <c r="H5" s="11">
        <f t="array" ref="H5">MAX(0,E5-IFERROR(INDEX(Sogginess_Calc!$E$4:$E$94,MATCH(A5,Sogginess_Calc!$A$4:$A$94,0)),0))</f>
        <v>0</v>
      </c>
      <c r="I5" s="12">
        <f t="shared" si="4"/>
        <v>0</v>
      </c>
    </row>
    <row r="6">
      <c r="A6" s="13">
        <f>Heat_Raw!A6</f>
        <v>40</v>
      </c>
      <c r="B6" s="12">
        <f>Heat_Raw!B6</f>
        <v>123.22</v>
      </c>
      <c r="C6" s="12">
        <f>Inputs!$B$33</f>
        <v>2276.725</v>
      </c>
      <c r="D6" s="12">
        <f t="shared" si="1"/>
        <v>0</v>
      </c>
      <c r="E6" s="11">
        <f>D6/Inputs!$B$25</f>
        <v>0</v>
      </c>
      <c r="F6" s="12">
        <f t="shared" si="2"/>
        <v>0</v>
      </c>
      <c r="G6" s="5" t="str">
        <f t="shared" si="3"/>
        <v>Below threshold</v>
      </c>
      <c r="H6" s="11">
        <f t="array" ref="H6">MAX(0,E6-IFERROR(INDEX(Sogginess_Calc!$E$4:$E$94,MATCH(A6,Sogginess_Calc!$A$4:$A$94,0)),0))</f>
        <v>0</v>
      </c>
      <c r="I6" s="12">
        <f t="shared" si="4"/>
        <v>0</v>
      </c>
    </row>
    <row r="7">
      <c r="A7" s="13">
        <f>Heat_Raw!A7</f>
        <v>60</v>
      </c>
      <c r="B7" s="12">
        <f>Heat_Raw!B7</f>
        <v>204.75</v>
      </c>
      <c r="C7" s="12">
        <f>Inputs!$B$33</f>
        <v>2276.725</v>
      </c>
      <c r="D7" s="12">
        <f t="shared" si="1"/>
        <v>0</v>
      </c>
      <c r="E7" s="11">
        <f>D7/Inputs!$B$25</f>
        <v>0</v>
      </c>
      <c r="F7" s="12">
        <f t="shared" si="2"/>
        <v>0</v>
      </c>
      <c r="G7" s="5" t="str">
        <f t="shared" si="3"/>
        <v>Below threshold</v>
      </c>
      <c r="H7" s="11">
        <f t="array" ref="H7">MAX(0,E7-IFERROR(INDEX(Sogginess_Calc!$E$4:$E$94,MATCH(A7,Sogginess_Calc!$A$4:$A$94,0)),0))</f>
        <v>0</v>
      </c>
      <c r="I7" s="12">
        <f t="shared" si="4"/>
        <v>0</v>
      </c>
    </row>
    <row r="8">
      <c r="A8" s="13">
        <f>Heat_Raw!A8</f>
        <v>80</v>
      </c>
      <c r="B8" s="12">
        <f>Heat_Raw!B8</f>
        <v>277.41</v>
      </c>
      <c r="C8" s="12">
        <f>Inputs!$B$33</f>
        <v>2276.725</v>
      </c>
      <c r="D8" s="12">
        <f t="shared" si="1"/>
        <v>0</v>
      </c>
      <c r="E8" s="11">
        <f>D8/Inputs!$B$25</f>
        <v>0</v>
      </c>
      <c r="F8" s="12">
        <f t="shared" si="2"/>
        <v>0</v>
      </c>
      <c r="G8" s="5" t="str">
        <f t="shared" si="3"/>
        <v>Below threshold</v>
      </c>
      <c r="H8" s="11">
        <f t="array" ref="H8">MAX(0,E8-IFERROR(INDEX(Sogginess_Calc!$E$4:$E$94,MATCH(A8,Sogginess_Calc!$A$4:$A$94,0)),0))</f>
        <v>0</v>
      </c>
      <c r="I8" s="12">
        <f t="shared" si="4"/>
        <v>0</v>
      </c>
    </row>
    <row r="9">
      <c r="A9" s="13">
        <f>Heat_Raw!A9</f>
        <v>100</v>
      </c>
      <c r="B9" s="12">
        <f>Heat_Raw!B9</f>
        <v>349.95</v>
      </c>
      <c r="C9" s="12">
        <f>Inputs!$B$33</f>
        <v>2276.725</v>
      </c>
      <c r="D9" s="12">
        <f t="shared" si="1"/>
        <v>0</v>
      </c>
      <c r="E9" s="11">
        <f>D9/Inputs!$B$25</f>
        <v>0</v>
      </c>
      <c r="F9" s="12">
        <f t="shared" si="2"/>
        <v>0</v>
      </c>
      <c r="G9" s="5" t="str">
        <f t="shared" si="3"/>
        <v>Below threshold</v>
      </c>
      <c r="H9" s="11">
        <f t="array" ref="H9">MAX(0,E9-IFERROR(INDEX(Sogginess_Calc!$E$4:$E$94,MATCH(A9,Sogginess_Calc!$A$4:$A$94,0)),0))</f>
        <v>0</v>
      </c>
      <c r="I9" s="12">
        <f t="shared" si="4"/>
        <v>0</v>
      </c>
    </row>
    <row r="10">
      <c r="A10" s="13">
        <f>Heat_Raw!A10</f>
        <v>120</v>
      </c>
      <c r="B10" s="12">
        <f>Heat_Raw!B10</f>
        <v>421.72</v>
      </c>
      <c r="C10" s="12">
        <f>Inputs!$B$33</f>
        <v>2276.725</v>
      </c>
      <c r="D10" s="12">
        <f t="shared" si="1"/>
        <v>0</v>
      </c>
      <c r="E10" s="11">
        <f>D10/Inputs!$B$25</f>
        <v>0</v>
      </c>
      <c r="F10" s="12">
        <f t="shared" si="2"/>
        <v>0</v>
      </c>
      <c r="G10" s="5" t="str">
        <f t="shared" si="3"/>
        <v>Below threshold</v>
      </c>
      <c r="H10" s="11">
        <f t="array" ref="H10">MAX(0,E10-IFERROR(INDEX(Sogginess_Calc!$E$4:$E$94,MATCH(A10,Sogginess_Calc!$A$4:$A$94,0)),0))</f>
        <v>0</v>
      </c>
      <c r="I10" s="12">
        <f t="shared" si="4"/>
        <v>0</v>
      </c>
    </row>
    <row r="11">
      <c r="A11" s="13">
        <f>Heat_Raw!A11</f>
        <v>140</v>
      </c>
      <c r="B11" s="12">
        <f>Heat_Raw!B11</f>
        <v>492.99</v>
      </c>
      <c r="C11" s="12">
        <f>Inputs!$B$33</f>
        <v>2276.725</v>
      </c>
      <c r="D11" s="12">
        <f t="shared" si="1"/>
        <v>0</v>
      </c>
      <c r="E11" s="11">
        <f>D11/Inputs!$B$25</f>
        <v>0</v>
      </c>
      <c r="F11" s="12">
        <f t="shared" si="2"/>
        <v>0</v>
      </c>
      <c r="G11" s="5" t="str">
        <f t="shared" si="3"/>
        <v>Below threshold</v>
      </c>
      <c r="H11" s="11">
        <f t="array" ref="H11">MAX(0,E11-IFERROR(INDEX(Sogginess_Calc!$E$4:$E$94,MATCH(A11,Sogginess_Calc!$A$4:$A$94,0)),0))</f>
        <v>0</v>
      </c>
      <c r="I11" s="12">
        <f t="shared" si="4"/>
        <v>0</v>
      </c>
    </row>
    <row r="12">
      <c r="A12" s="13">
        <f>Heat_Raw!A12</f>
        <v>160</v>
      </c>
      <c r="B12" s="12">
        <f>Heat_Raw!B12</f>
        <v>562.14</v>
      </c>
      <c r="C12" s="12">
        <f>Inputs!$B$33</f>
        <v>2276.725</v>
      </c>
      <c r="D12" s="12">
        <f t="shared" si="1"/>
        <v>0</v>
      </c>
      <c r="E12" s="11">
        <f>D12/Inputs!$B$25</f>
        <v>0</v>
      </c>
      <c r="F12" s="12">
        <f t="shared" si="2"/>
        <v>0</v>
      </c>
      <c r="G12" s="5" t="str">
        <f t="shared" si="3"/>
        <v>Below threshold</v>
      </c>
      <c r="H12" s="11">
        <f t="array" ref="H12">MAX(0,E12-IFERROR(INDEX(Sogginess_Calc!$E$4:$E$94,MATCH(A12,Sogginess_Calc!$A$4:$A$94,0)),0))</f>
        <v>0</v>
      </c>
      <c r="I12" s="12">
        <f t="shared" si="4"/>
        <v>0</v>
      </c>
    </row>
    <row r="13">
      <c r="A13" s="13">
        <f>Heat_Raw!A13</f>
        <v>180</v>
      </c>
      <c r="B13" s="12">
        <f>Heat_Raw!B13</f>
        <v>631.29</v>
      </c>
      <c r="C13" s="12">
        <f>Inputs!$B$33</f>
        <v>2276.725</v>
      </c>
      <c r="D13" s="12">
        <f t="shared" si="1"/>
        <v>0</v>
      </c>
      <c r="E13" s="11">
        <f>D13/Inputs!$B$25</f>
        <v>0</v>
      </c>
      <c r="F13" s="12">
        <f t="shared" si="2"/>
        <v>0</v>
      </c>
      <c r="G13" s="5" t="str">
        <f t="shared" si="3"/>
        <v>Below threshold</v>
      </c>
      <c r="H13" s="11">
        <f t="array" ref="H13">MAX(0,E13-IFERROR(INDEX(Sogginess_Calc!$E$4:$E$94,MATCH(A13,Sogginess_Calc!$A$4:$A$94,0)),0))</f>
        <v>0</v>
      </c>
      <c r="I13" s="12">
        <f t="shared" si="4"/>
        <v>0</v>
      </c>
    </row>
    <row r="14">
      <c r="A14" s="13">
        <f>Heat_Raw!A14</f>
        <v>200</v>
      </c>
      <c r="B14" s="12">
        <f>Heat_Raw!B14</f>
        <v>700.43</v>
      </c>
      <c r="C14" s="12">
        <f>Inputs!$B$33</f>
        <v>2276.725</v>
      </c>
      <c r="D14" s="12">
        <f t="shared" si="1"/>
        <v>0</v>
      </c>
      <c r="E14" s="11">
        <f>D14/Inputs!$B$25</f>
        <v>0</v>
      </c>
      <c r="F14" s="12">
        <f t="shared" si="2"/>
        <v>0</v>
      </c>
      <c r="G14" s="5" t="str">
        <f t="shared" si="3"/>
        <v>Below threshold</v>
      </c>
      <c r="H14" s="11">
        <f t="array" ref="H14">MAX(0,E14-IFERROR(INDEX(Sogginess_Calc!$E$4:$E$94,MATCH(A14,Sogginess_Calc!$A$4:$A$94,0)),0))</f>
        <v>0</v>
      </c>
      <c r="I14" s="12">
        <f t="shared" si="4"/>
        <v>0</v>
      </c>
    </row>
    <row r="15">
      <c r="A15" s="13">
        <f>Heat_Raw!A15</f>
        <v>220</v>
      </c>
      <c r="B15" s="12">
        <f>Heat_Raw!B15</f>
        <v>768.02</v>
      </c>
      <c r="C15" s="12">
        <f>Inputs!$B$33</f>
        <v>2276.725</v>
      </c>
      <c r="D15" s="12">
        <f t="shared" si="1"/>
        <v>0</v>
      </c>
      <c r="E15" s="11">
        <f>D15/Inputs!$B$25</f>
        <v>0</v>
      </c>
      <c r="F15" s="12">
        <f t="shared" si="2"/>
        <v>0</v>
      </c>
      <c r="G15" s="5" t="str">
        <f t="shared" si="3"/>
        <v>Below threshold</v>
      </c>
      <c r="H15" s="11">
        <f t="array" ref="H15">MAX(0,E15-IFERROR(INDEX(Sogginess_Calc!$E$4:$E$94,MATCH(A15,Sogginess_Calc!$A$4:$A$94,0)),0))</f>
        <v>0</v>
      </c>
      <c r="I15" s="12">
        <f t="shared" si="4"/>
        <v>0</v>
      </c>
    </row>
    <row r="16">
      <c r="A16" s="13">
        <f>Heat_Raw!A16</f>
        <v>240</v>
      </c>
      <c r="B16" s="12">
        <f>Heat_Raw!B16</f>
        <v>832.03</v>
      </c>
      <c r="C16" s="12">
        <f>Inputs!$B$33</f>
        <v>2276.725</v>
      </c>
      <c r="D16" s="12">
        <f t="shared" si="1"/>
        <v>0</v>
      </c>
      <c r="E16" s="11">
        <f>D16/Inputs!$B$25</f>
        <v>0</v>
      </c>
      <c r="F16" s="12">
        <f t="shared" si="2"/>
        <v>0</v>
      </c>
      <c r="G16" s="5" t="str">
        <f t="shared" si="3"/>
        <v>Below threshold</v>
      </c>
      <c r="H16" s="11">
        <f t="array" ref="H16">MAX(0,E16-IFERROR(INDEX(Sogginess_Calc!$E$4:$E$94,MATCH(A16,Sogginess_Calc!$A$4:$A$94,0)),0))</f>
        <v>0</v>
      </c>
      <c r="I16" s="12">
        <f t="shared" si="4"/>
        <v>0</v>
      </c>
    </row>
    <row r="17">
      <c r="A17" s="13">
        <f>Heat_Raw!A17</f>
        <v>260</v>
      </c>
      <c r="B17" s="12">
        <f>Heat_Raw!B17</f>
        <v>896.04</v>
      </c>
      <c r="C17" s="12">
        <f>Inputs!$B$33</f>
        <v>2276.725</v>
      </c>
      <c r="D17" s="12">
        <f t="shared" si="1"/>
        <v>0</v>
      </c>
      <c r="E17" s="11">
        <f>D17/Inputs!$B$25</f>
        <v>0</v>
      </c>
      <c r="F17" s="12">
        <f t="shared" si="2"/>
        <v>0</v>
      </c>
      <c r="G17" s="5" t="str">
        <f t="shared" si="3"/>
        <v>Below threshold</v>
      </c>
      <c r="H17" s="11">
        <f t="array" ref="H17">MAX(0,E17-IFERROR(INDEX(Sogginess_Calc!$E$4:$E$94,MATCH(A17,Sogginess_Calc!$A$4:$A$94,0)),0))</f>
        <v>0</v>
      </c>
      <c r="I17" s="12">
        <f t="shared" si="4"/>
        <v>0</v>
      </c>
    </row>
    <row r="18">
      <c r="A18" s="13">
        <f>Heat_Raw!A18</f>
        <v>280</v>
      </c>
      <c r="B18" s="12">
        <f>Heat_Raw!B18</f>
        <v>960.05</v>
      </c>
      <c r="C18" s="12">
        <f>Inputs!$B$33</f>
        <v>2276.725</v>
      </c>
      <c r="D18" s="12">
        <f t="shared" si="1"/>
        <v>0</v>
      </c>
      <c r="E18" s="11">
        <f>D18/Inputs!$B$25</f>
        <v>0</v>
      </c>
      <c r="F18" s="12">
        <f t="shared" si="2"/>
        <v>0</v>
      </c>
      <c r="G18" s="5" t="str">
        <f t="shared" si="3"/>
        <v>Below threshold</v>
      </c>
      <c r="H18" s="11">
        <f t="array" ref="H18">MAX(0,E18-IFERROR(INDEX(Sogginess_Calc!$E$4:$E$94,MATCH(A18,Sogginess_Calc!$A$4:$A$94,0)),0))</f>
        <v>0</v>
      </c>
      <c r="I18" s="12">
        <f t="shared" si="4"/>
        <v>0</v>
      </c>
    </row>
    <row r="19">
      <c r="A19" s="13">
        <f>Heat_Raw!A19</f>
        <v>300</v>
      </c>
      <c r="B19" s="12">
        <f>Heat_Raw!B19</f>
        <v>1024.1</v>
      </c>
      <c r="C19" s="12">
        <f>Inputs!$B$33</f>
        <v>2276.725</v>
      </c>
      <c r="D19" s="12">
        <f t="shared" si="1"/>
        <v>0</v>
      </c>
      <c r="E19" s="11">
        <f>D19/Inputs!$B$25</f>
        <v>0</v>
      </c>
      <c r="F19" s="12">
        <f t="shared" si="2"/>
        <v>0</v>
      </c>
      <c r="G19" s="5" t="str">
        <f t="shared" si="3"/>
        <v>Below threshold</v>
      </c>
      <c r="H19" s="11">
        <f t="array" ref="H19">MAX(0,E19-IFERROR(INDEX(Sogginess_Calc!$E$4:$E$94,MATCH(A19,Sogginess_Calc!$A$4:$A$94,0)),0))</f>
        <v>0</v>
      </c>
      <c r="I19" s="12">
        <f t="shared" si="4"/>
        <v>0</v>
      </c>
    </row>
    <row r="20">
      <c r="A20" s="13">
        <f>Heat_Raw!A20</f>
        <v>320</v>
      </c>
      <c r="B20" s="12">
        <f>Heat_Raw!B20</f>
        <v>1088.1</v>
      </c>
      <c r="C20" s="12">
        <f>Inputs!$B$33</f>
        <v>2276.725</v>
      </c>
      <c r="D20" s="12">
        <f t="shared" si="1"/>
        <v>0</v>
      </c>
      <c r="E20" s="11">
        <f>D20/Inputs!$B$25</f>
        <v>0</v>
      </c>
      <c r="F20" s="12">
        <f t="shared" si="2"/>
        <v>0</v>
      </c>
      <c r="G20" s="5" t="str">
        <f t="shared" si="3"/>
        <v>Below threshold</v>
      </c>
      <c r="H20" s="11">
        <f t="array" ref="H20">MAX(0,E20-IFERROR(INDEX(Sogginess_Calc!$E$4:$E$94,MATCH(A20,Sogginess_Calc!$A$4:$A$94,0)),0))</f>
        <v>0</v>
      </c>
      <c r="I20" s="12">
        <f t="shared" si="4"/>
        <v>0</v>
      </c>
    </row>
    <row r="21" ht="15.75" customHeight="1">
      <c r="A21" s="13">
        <f>Heat_Raw!A21</f>
        <v>340</v>
      </c>
      <c r="B21" s="12">
        <f>Heat_Raw!B21</f>
        <v>1152.1</v>
      </c>
      <c r="C21" s="12">
        <f>Inputs!$B$33</f>
        <v>2276.725</v>
      </c>
      <c r="D21" s="12">
        <f t="shared" si="1"/>
        <v>0</v>
      </c>
      <c r="E21" s="11">
        <f>D21/Inputs!$B$25</f>
        <v>0</v>
      </c>
      <c r="F21" s="12">
        <f t="shared" si="2"/>
        <v>0</v>
      </c>
      <c r="G21" s="5" t="str">
        <f t="shared" si="3"/>
        <v>Below threshold</v>
      </c>
      <c r="H21" s="11">
        <f t="array" ref="H21">MAX(0,E21-IFERROR(INDEX(Sogginess_Calc!$E$4:$E$94,MATCH(A21,Sogginess_Calc!$A$4:$A$94,0)),0))</f>
        <v>0</v>
      </c>
      <c r="I21" s="12">
        <f t="shared" si="4"/>
        <v>0</v>
      </c>
    </row>
    <row r="22" ht="15.75" customHeight="1">
      <c r="A22" s="13">
        <f>Heat_Raw!A22</f>
        <v>360</v>
      </c>
      <c r="B22" s="12">
        <f>Heat_Raw!B22</f>
        <v>1216.1</v>
      </c>
      <c r="C22" s="12">
        <f>Inputs!$B$33</f>
        <v>2276.725</v>
      </c>
      <c r="D22" s="12">
        <f t="shared" si="1"/>
        <v>0</v>
      </c>
      <c r="E22" s="11">
        <f>D22/Inputs!$B$25</f>
        <v>0</v>
      </c>
      <c r="F22" s="12">
        <f t="shared" si="2"/>
        <v>0</v>
      </c>
      <c r="G22" s="5" t="str">
        <f t="shared" si="3"/>
        <v>Below threshold</v>
      </c>
      <c r="H22" s="11">
        <f t="array" ref="H22">MAX(0,E22-IFERROR(INDEX(Sogginess_Calc!$E$4:$E$94,MATCH(A22,Sogginess_Calc!$A$4:$A$94,0)),0))</f>
        <v>0</v>
      </c>
      <c r="I22" s="12">
        <f t="shared" si="4"/>
        <v>0</v>
      </c>
    </row>
    <row r="23" ht="15.75" customHeight="1">
      <c r="A23" s="13">
        <f>Heat_Raw!A23</f>
        <v>380</v>
      </c>
      <c r="B23" s="12">
        <f>Heat_Raw!B23</f>
        <v>1277.6</v>
      </c>
      <c r="C23" s="12">
        <f>Inputs!$B$33</f>
        <v>2276.725</v>
      </c>
      <c r="D23" s="12">
        <f t="shared" si="1"/>
        <v>0</v>
      </c>
      <c r="E23" s="11">
        <f>D23/Inputs!$B$25</f>
        <v>0</v>
      </c>
      <c r="F23" s="12">
        <f t="shared" si="2"/>
        <v>0</v>
      </c>
      <c r="G23" s="5" t="str">
        <f t="shared" si="3"/>
        <v>Below threshold</v>
      </c>
      <c r="H23" s="11">
        <f t="array" ref="H23">MAX(0,E23-IFERROR(INDEX(Sogginess_Calc!$E$4:$E$94,MATCH(A23,Sogginess_Calc!$A$4:$A$94,0)),0))</f>
        <v>0</v>
      </c>
      <c r="I23" s="12">
        <f t="shared" si="4"/>
        <v>0</v>
      </c>
    </row>
    <row r="24" ht="15.75" customHeight="1">
      <c r="A24" s="13">
        <f>Heat_Raw!A24</f>
        <v>400</v>
      </c>
      <c r="B24" s="12">
        <f>Heat_Raw!B24</f>
        <v>1336.9</v>
      </c>
      <c r="C24" s="12">
        <f>Inputs!$B$33</f>
        <v>2276.725</v>
      </c>
      <c r="D24" s="12">
        <f t="shared" si="1"/>
        <v>0</v>
      </c>
      <c r="E24" s="11">
        <f>D24/Inputs!$B$25</f>
        <v>0</v>
      </c>
      <c r="F24" s="12">
        <f t="shared" si="2"/>
        <v>0</v>
      </c>
      <c r="G24" s="5" t="str">
        <f t="shared" si="3"/>
        <v>Below threshold</v>
      </c>
      <c r="H24" s="11">
        <f t="array" ref="H24">MAX(0,E24-IFERROR(INDEX(Sogginess_Calc!$E$4:$E$94,MATCH(A24,Sogginess_Calc!$A$4:$A$94,0)),0))</f>
        <v>0</v>
      </c>
      <c r="I24" s="12">
        <f t="shared" si="4"/>
        <v>0</v>
      </c>
    </row>
    <row r="25" ht="15.75" customHeight="1">
      <c r="A25" s="13">
        <f>Heat_Raw!A25</f>
        <v>420</v>
      </c>
      <c r="B25" s="12">
        <f>Heat_Raw!B25</f>
        <v>1396.3</v>
      </c>
      <c r="C25" s="12">
        <f>Inputs!$B$33</f>
        <v>2276.725</v>
      </c>
      <c r="D25" s="12">
        <f t="shared" si="1"/>
        <v>0</v>
      </c>
      <c r="E25" s="11">
        <f>D25/Inputs!$B$25</f>
        <v>0</v>
      </c>
      <c r="F25" s="12">
        <f t="shared" si="2"/>
        <v>0</v>
      </c>
      <c r="G25" s="5" t="str">
        <f t="shared" si="3"/>
        <v>Below threshold</v>
      </c>
      <c r="H25" s="11">
        <f t="array" ref="H25">MAX(0,E25-IFERROR(INDEX(Sogginess_Calc!$E$4:$E$94,MATCH(A25,Sogginess_Calc!$A$4:$A$94,0)),0))</f>
        <v>0</v>
      </c>
      <c r="I25" s="12">
        <f t="shared" si="4"/>
        <v>0</v>
      </c>
    </row>
    <row r="26" ht="15.75" customHeight="1">
      <c r="A26" s="13">
        <f>Heat_Raw!A26</f>
        <v>440</v>
      </c>
      <c r="B26" s="12">
        <f>Heat_Raw!B26</f>
        <v>1455.6</v>
      </c>
      <c r="C26" s="12">
        <f>Inputs!$B$33</f>
        <v>2276.725</v>
      </c>
      <c r="D26" s="12">
        <f t="shared" si="1"/>
        <v>0</v>
      </c>
      <c r="E26" s="11">
        <f>D26/Inputs!$B$25</f>
        <v>0</v>
      </c>
      <c r="F26" s="12">
        <f t="shared" si="2"/>
        <v>0</v>
      </c>
      <c r="G26" s="5" t="str">
        <f t="shared" si="3"/>
        <v>Below threshold</v>
      </c>
      <c r="H26" s="11">
        <f t="array" ref="H26">MAX(0,E26-IFERROR(INDEX(Sogginess_Calc!$E$4:$E$94,MATCH(A26,Sogginess_Calc!$A$4:$A$94,0)),0))</f>
        <v>0</v>
      </c>
      <c r="I26" s="12">
        <f t="shared" si="4"/>
        <v>0</v>
      </c>
    </row>
    <row r="27" ht="15.75" customHeight="1">
      <c r="A27" s="13">
        <f>Heat_Raw!A27</f>
        <v>460</v>
      </c>
      <c r="B27" s="12">
        <f>Heat_Raw!B27</f>
        <v>1514.9</v>
      </c>
      <c r="C27" s="12">
        <f>Inputs!$B$33</f>
        <v>2276.725</v>
      </c>
      <c r="D27" s="12">
        <f t="shared" si="1"/>
        <v>0</v>
      </c>
      <c r="E27" s="11">
        <f>D27/Inputs!$B$25</f>
        <v>0</v>
      </c>
      <c r="F27" s="12">
        <f t="shared" si="2"/>
        <v>0</v>
      </c>
      <c r="G27" s="5" t="str">
        <f t="shared" si="3"/>
        <v>Below threshold</v>
      </c>
      <c r="H27" s="11">
        <f t="array" ref="H27">MAX(0,E27-IFERROR(INDEX(Sogginess_Calc!$E$4:$E$94,MATCH(A27,Sogginess_Calc!$A$4:$A$94,0)),0))</f>
        <v>0</v>
      </c>
      <c r="I27" s="12">
        <f t="shared" si="4"/>
        <v>0</v>
      </c>
    </row>
    <row r="28" ht="15.75" customHeight="1">
      <c r="A28" s="13">
        <f>Heat_Raw!A28</f>
        <v>480</v>
      </c>
      <c r="B28" s="12">
        <f>Heat_Raw!B28</f>
        <v>1574.2</v>
      </c>
      <c r="C28" s="12">
        <f>Inputs!$B$33</f>
        <v>2276.725</v>
      </c>
      <c r="D28" s="12">
        <f t="shared" si="1"/>
        <v>0</v>
      </c>
      <c r="E28" s="11">
        <f>D28/Inputs!$B$25</f>
        <v>0</v>
      </c>
      <c r="F28" s="12">
        <f t="shared" si="2"/>
        <v>0</v>
      </c>
      <c r="G28" s="5" t="str">
        <f t="shared" si="3"/>
        <v>Below threshold</v>
      </c>
      <c r="H28" s="11">
        <f t="array" ref="H28">MAX(0,E28-IFERROR(INDEX(Sogginess_Calc!$E$4:$E$94,MATCH(A28,Sogginess_Calc!$A$4:$A$94,0)),0))</f>
        <v>0</v>
      </c>
      <c r="I28" s="12">
        <f t="shared" si="4"/>
        <v>0</v>
      </c>
    </row>
    <row r="29" ht="15.75" customHeight="1">
      <c r="A29" s="13">
        <f>Heat_Raw!A29</f>
        <v>500</v>
      </c>
      <c r="B29" s="12">
        <f>Heat_Raw!B29</f>
        <v>1633.5</v>
      </c>
      <c r="C29" s="12">
        <f>Inputs!$B$33</f>
        <v>2276.725</v>
      </c>
      <c r="D29" s="12">
        <f t="shared" si="1"/>
        <v>0</v>
      </c>
      <c r="E29" s="11">
        <f>D29/Inputs!$B$25</f>
        <v>0</v>
      </c>
      <c r="F29" s="12">
        <f t="shared" si="2"/>
        <v>0</v>
      </c>
      <c r="G29" s="5" t="str">
        <f t="shared" si="3"/>
        <v>Below threshold</v>
      </c>
      <c r="H29" s="11">
        <f t="array" ref="H29">MAX(0,E29-IFERROR(INDEX(Sogginess_Calc!$E$4:$E$94,MATCH(A29,Sogginess_Calc!$A$4:$A$94,0)),0))</f>
        <v>0</v>
      </c>
      <c r="I29" s="12">
        <f t="shared" si="4"/>
        <v>0</v>
      </c>
    </row>
    <row r="30" ht="15.75" customHeight="1">
      <c r="A30" s="13">
        <f>Heat_Raw!A30</f>
        <v>520</v>
      </c>
      <c r="B30" s="12">
        <f>Heat_Raw!B30</f>
        <v>1692.8</v>
      </c>
      <c r="C30" s="12">
        <f>Inputs!$B$33</f>
        <v>2276.725</v>
      </c>
      <c r="D30" s="12">
        <f t="shared" si="1"/>
        <v>0</v>
      </c>
      <c r="E30" s="11">
        <f>D30/Inputs!$B$25</f>
        <v>0</v>
      </c>
      <c r="F30" s="12">
        <f t="shared" si="2"/>
        <v>0</v>
      </c>
      <c r="G30" s="5" t="str">
        <f t="shared" si="3"/>
        <v>Below threshold</v>
      </c>
      <c r="H30" s="11">
        <f t="array" ref="H30">MAX(0,E30-IFERROR(INDEX(Sogginess_Calc!$E$4:$E$94,MATCH(A30,Sogginess_Calc!$A$4:$A$94,0)),0))</f>
        <v>0</v>
      </c>
      <c r="I30" s="12">
        <f t="shared" si="4"/>
        <v>0</v>
      </c>
    </row>
    <row r="31" ht="15.75" customHeight="1">
      <c r="A31" s="13">
        <f>Heat_Raw!A31</f>
        <v>540</v>
      </c>
      <c r="B31" s="12">
        <f>Heat_Raw!B31</f>
        <v>1748.5</v>
      </c>
      <c r="C31" s="12">
        <f>Inputs!$B$33</f>
        <v>2276.725</v>
      </c>
      <c r="D31" s="12">
        <f t="shared" si="1"/>
        <v>0</v>
      </c>
      <c r="E31" s="11">
        <f>D31/Inputs!$B$25</f>
        <v>0</v>
      </c>
      <c r="F31" s="12">
        <f t="shared" si="2"/>
        <v>0</v>
      </c>
      <c r="G31" s="5" t="str">
        <f t="shared" si="3"/>
        <v>Below threshold</v>
      </c>
      <c r="H31" s="11">
        <f t="array" ref="H31">MAX(0,E31-IFERROR(INDEX(Sogginess_Calc!$E$4:$E$94,MATCH(A31,Sogginess_Calc!$A$4:$A$94,0)),0))</f>
        <v>0</v>
      </c>
      <c r="I31" s="12">
        <f t="shared" si="4"/>
        <v>0</v>
      </c>
    </row>
    <row r="32" ht="15.75" customHeight="1">
      <c r="A32" s="13">
        <f>Heat_Raw!A32</f>
        <v>560</v>
      </c>
      <c r="B32" s="12">
        <f>Heat_Raw!B32</f>
        <v>1802.9</v>
      </c>
      <c r="C32" s="12">
        <f>Inputs!$B$33</f>
        <v>2276.725</v>
      </c>
      <c r="D32" s="12">
        <f t="shared" si="1"/>
        <v>0</v>
      </c>
      <c r="E32" s="11">
        <f>D32/Inputs!$B$25</f>
        <v>0</v>
      </c>
      <c r="F32" s="12">
        <f t="shared" si="2"/>
        <v>0</v>
      </c>
      <c r="G32" s="5" t="str">
        <f t="shared" si="3"/>
        <v>Below threshold</v>
      </c>
      <c r="H32" s="11">
        <f t="array" ref="H32">MAX(0,E32-IFERROR(INDEX(Sogginess_Calc!$E$4:$E$94,MATCH(A32,Sogginess_Calc!$A$4:$A$94,0)),0))</f>
        <v>0</v>
      </c>
      <c r="I32" s="12">
        <f t="shared" si="4"/>
        <v>0</v>
      </c>
    </row>
    <row r="33" ht="15.75" customHeight="1">
      <c r="A33" s="13">
        <f>Heat_Raw!A33</f>
        <v>580</v>
      </c>
      <c r="B33" s="12">
        <f>Heat_Raw!B33</f>
        <v>1857.4</v>
      </c>
      <c r="C33" s="12">
        <f>Inputs!$B$33</f>
        <v>2276.725</v>
      </c>
      <c r="D33" s="12">
        <f t="shared" si="1"/>
        <v>0</v>
      </c>
      <c r="E33" s="11">
        <f>D33/Inputs!$B$25</f>
        <v>0</v>
      </c>
      <c r="F33" s="12">
        <f t="shared" si="2"/>
        <v>0</v>
      </c>
      <c r="G33" s="5" t="str">
        <f t="shared" si="3"/>
        <v>Below threshold</v>
      </c>
      <c r="H33" s="11">
        <f t="array" ref="H33">MAX(0,E33-IFERROR(INDEX(Sogginess_Calc!$E$4:$E$94,MATCH(A33,Sogginess_Calc!$A$4:$A$94,0)),0))</f>
        <v>0</v>
      </c>
      <c r="I33" s="12">
        <f t="shared" si="4"/>
        <v>0</v>
      </c>
    </row>
    <row r="34" ht="15.75" customHeight="1">
      <c r="A34" s="13">
        <f>Heat_Raw!A34</f>
        <v>600</v>
      </c>
      <c r="B34" s="12">
        <f>Heat_Raw!B34</f>
        <v>1911.8</v>
      </c>
      <c r="C34" s="12">
        <f>Inputs!$B$33</f>
        <v>2276.725</v>
      </c>
      <c r="D34" s="12">
        <f t="shared" si="1"/>
        <v>0</v>
      </c>
      <c r="E34" s="11">
        <f>D34/Inputs!$B$25</f>
        <v>0</v>
      </c>
      <c r="F34" s="12">
        <f t="shared" si="2"/>
        <v>0</v>
      </c>
      <c r="G34" s="5" t="str">
        <f t="shared" si="3"/>
        <v>Below threshold</v>
      </c>
      <c r="H34" s="11">
        <f t="array" ref="H34">MAX(0,E34-IFERROR(INDEX(Sogginess_Calc!$E$4:$E$94,MATCH(A34,Sogginess_Calc!$A$4:$A$94,0)),0))</f>
        <v>0</v>
      </c>
      <c r="I34" s="12">
        <f t="shared" si="4"/>
        <v>0</v>
      </c>
    </row>
    <row r="35" ht="15.75" customHeight="1">
      <c r="A35" s="13">
        <f>Heat_Raw!A35</f>
        <v>620</v>
      </c>
      <c r="B35" s="12">
        <f>Heat_Raw!B35</f>
        <v>1966.3</v>
      </c>
      <c r="C35" s="12">
        <f>Inputs!$B$33</f>
        <v>2276.725</v>
      </c>
      <c r="D35" s="12">
        <f t="shared" si="1"/>
        <v>0</v>
      </c>
      <c r="E35" s="11">
        <f>D35/Inputs!$B$25</f>
        <v>0</v>
      </c>
      <c r="F35" s="12">
        <f t="shared" si="2"/>
        <v>0</v>
      </c>
      <c r="G35" s="5" t="str">
        <f t="shared" si="3"/>
        <v>Below threshold</v>
      </c>
      <c r="H35" s="11">
        <f t="array" ref="H35">MAX(0,E35-IFERROR(INDEX(Sogginess_Calc!$E$4:$E$94,MATCH(A35,Sogginess_Calc!$A$4:$A$94,0)),0))</f>
        <v>0</v>
      </c>
      <c r="I35" s="12">
        <f t="shared" si="4"/>
        <v>0</v>
      </c>
    </row>
    <row r="36" ht="15.75" customHeight="1">
      <c r="A36" s="13">
        <f>Heat_Raw!A36</f>
        <v>640</v>
      </c>
      <c r="B36" s="12">
        <f>Heat_Raw!B36</f>
        <v>2020.7</v>
      </c>
      <c r="C36" s="12">
        <f>Inputs!$B$33</f>
        <v>2276.725</v>
      </c>
      <c r="D36" s="12">
        <f t="shared" si="1"/>
        <v>0</v>
      </c>
      <c r="E36" s="11">
        <f>D36/Inputs!$B$25</f>
        <v>0</v>
      </c>
      <c r="F36" s="12">
        <f t="shared" si="2"/>
        <v>0</v>
      </c>
      <c r="G36" s="5" t="str">
        <f t="shared" si="3"/>
        <v>Below threshold</v>
      </c>
      <c r="H36" s="11">
        <f t="array" ref="H36">MAX(0,E36-IFERROR(INDEX(Sogginess_Calc!$E$4:$E$94,MATCH(A36,Sogginess_Calc!$A$4:$A$94,0)),0))</f>
        <v>0</v>
      </c>
      <c r="I36" s="12">
        <f t="shared" si="4"/>
        <v>0</v>
      </c>
    </row>
    <row r="37" ht="15.75" customHeight="1">
      <c r="A37" s="13">
        <f>Heat_Raw!A37</f>
        <v>660</v>
      </c>
      <c r="B37" s="12">
        <f>Heat_Raw!B37</f>
        <v>2075.2</v>
      </c>
      <c r="C37" s="12">
        <f>Inputs!$B$33</f>
        <v>2276.725</v>
      </c>
      <c r="D37" s="12">
        <f t="shared" si="1"/>
        <v>0</v>
      </c>
      <c r="E37" s="11">
        <f>D37/Inputs!$B$25</f>
        <v>0</v>
      </c>
      <c r="F37" s="12">
        <f t="shared" si="2"/>
        <v>0</v>
      </c>
      <c r="G37" s="5" t="str">
        <f t="shared" si="3"/>
        <v>Below threshold</v>
      </c>
      <c r="H37" s="11">
        <f t="array" ref="H37">MAX(0,E37-IFERROR(INDEX(Sogginess_Calc!$E$4:$E$94,MATCH(A37,Sogginess_Calc!$A$4:$A$94,0)),0))</f>
        <v>0</v>
      </c>
      <c r="I37" s="12">
        <f t="shared" si="4"/>
        <v>0</v>
      </c>
    </row>
    <row r="38" ht="15.75" customHeight="1">
      <c r="A38" s="13">
        <f>Heat_Raw!A38</f>
        <v>680</v>
      </c>
      <c r="B38" s="12">
        <f>Heat_Raw!B38</f>
        <v>2129.6</v>
      </c>
      <c r="C38" s="12">
        <f>Inputs!$B$33</f>
        <v>2276.725</v>
      </c>
      <c r="D38" s="12">
        <f t="shared" si="1"/>
        <v>0</v>
      </c>
      <c r="E38" s="11">
        <f>D38/Inputs!$B$25</f>
        <v>0</v>
      </c>
      <c r="F38" s="12">
        <f t="shared" si="2"/>
        <v>0</v>
      </c>
      <c r="G38" s="5" t="str">
        <f t="shared" si="3"/>
        <v>Below threshold</v>
      </c>
      <c r="H38" s="11">
        <f t="array" ref="H38">MAX(0,E38-IFERROR(INDEX(Sogginess_Calc!$E$4:$E$94,MATCH(A38,Sogginess_Calc!$A$4:$A$94,0)),0))</f>
        <v>0</v>
      </c>
      <c r="I38" s="12">
        <f t="shared" si="4"/>
        <v>0</v>
      </c>
    </row>
    <row r="39" ht="15.75" customHeight="1">
      <c r="A39" s="13">
        <f>Heat_Raw!A39</f>
        <v>700</v>
      </c>
      <c r="B39" s="12">
        <f>Heat_Raw!B39</f>
        <v>2184.1</v>
      </c>
      <c r="C39" s="12">
        <f>Inputs!$B$33</f>
        <v>2276.725</v>
      </c>
      <c r="D39" s="12">
        <f t="shared" si="1"/>
        <v>0</v>
      </c>
      <c r="E39" s="11">
        <f>D39/Inputs!$B$25</f>
        <v>0</v>
      </c>
      <c r="F39" s="12">
        <f t="shared" si="2"/>
        <v>0</v>
      </c>
      <c r="G39" s="5" t="str">
        <f t="shared" si="3"/>
        <v>Below threshold</v>
      </c>
      <c r="H39" s="11">
        <f t="array" ref="H39">MAX(0,E39-IFERROR(INDEX(Sogginess_Calc!$E$4:$E$94,MATCH(A39,Sogginess_Calc!$A$4:$A$94,0)),0))</f>
        <v>0</v>
      </c>
      <c r="I39" s="12">
        <f t="shared" si="4"/>
        <v>0</v>
      </c>
    </row>
    <row r="40" ht="15.75" customHeight="1">
      <c r="A40" s="13">
        <f>Heat_Raw!A40</f>
        <v>720</v>
      </c>
      <c r="B40" s="12">
        <f>Heat_Raw!B40</f>
        <v>2235.3</v>
      </c>
      <c r="C40" s="12">
        <f>Inputs!$B$33</f>
        <v>2276.725</v>
      </c>
      <c r="D40" s="12">
        <f t="shared" si="1"/>
        <v>0</v>
      </c>
      <c r="E40" s="11">
        <f>D40/Inputs!$B$25</f>
        <v>0</v>
      </c>
      <c r="F40" s="12">
        <f t="shared" si="2"/>
        <v>0</v>
      </c>
      <c r="G40" s="5" t="str">
        <f t="shared" si="3"/>
        <v>Below threshold</v>
      </c>
      <c r="H40" s="11">
        <f t="array" ref="H40">MAX(0,E40-IFERROR(INDEX(Sogginess_Calc!$E$4:$E$94,MATCH(A40,Sogginess_Calc!$A$4:$A$94,0)),0))</f>
        <v>0</v>
      </c>
      <c r="I40" s="12">
        <f t="shared" si="4"/>
        <v>0</v>
      </c>
    </row>
    <row r="41" ht="15.75" customHeight="1">
      <c r="A41" s="13">
        <f>Heat_Raw!A41</f>
        <v>740</v>
      </c>
      <c r="B41" s="12">
        <f>Heat_Raw!B41</f>
        <v>2285.3</v>
      </c>
      <c r="C41" s="12">
        <f>Inputs!$B$33</f>
        <v>2276.725</v>
      </c>
      <c r="D41" s="12">
        <f t="shared" si="1"/>
        <v>8.575</v>
      </c>
      <c r="E41" s="11">
        <f>D41/Inputs!$B$25</f>
        <v>0.0000343</v>
      </c>
      <c r="F41" s="12">
        <f t="shared" si="2"/>
        <v>0.0343</v>
      </c>
      <c r="G41" s="5" t="str">
        <f t="shared" si="3"/>
        <v>Melting started</v>
      </c>
      <c r="H41" s="11">
        <f t="array" ref="H41">MAX(0,E41-IFERROR(INDEX(Sogginess_Calc!$E$4:$E$94,MATCH(A41,Sogginess_Calc!$A$4:$A$94,0)),0))</f>
        <v>0</v>
      </c>
      <c r="I41" s="12">
        <f t="shared" si="4"/>
        <v>0</v>
      </c>
    </row>
    <row r="42" ht="15.75" customHeight="1">
      <c r="A42" s="13">
        <f>Heat_Raw!A42</f>
        <v>760</v>
      </c>
      <c r="B42" s="12">
        <f>Heat_Raw!B42</f>
        <v>2335.3</v>
      </c>
      <c r="C42" s="12">
        <f>Inputs!$B$33</f>
        <v>2276.725</v>
      </c>
      <c r="D42" s="12">
        <f t="shared" si="1"/>
        <v>58.575</v>
      </c>
      <c r="E42" s="11">
        <f>D42/Inputs!$B$25</f>
        <v>0.0002343</v>
      </c>
      <c r="F42" s="12">
        <f t="shared" si="2"/>
        <v>0.2343</v>
      </c>
      <c r="G42" s="5" t="str">
        <f t="shared" si="3"/>
        <v>Melting started</v>
      </c>
      <c r="H42" s="11">
        <f t="array" ref="H42">MAX(0,E42-IFERROR(INDEX(Sogginess_Calc!$E$4:$E$94,MATCH(A42,Sogginess_Calc!$A$4:$A$94,0)),0))</f>
        <v>0</v>
      </c>
      <c r="I42" s="12">
        <f t="shared" si="4"/>
        <v>0</v>
      </c>
    </row>
    <row r="43" ht="15.75" customHeight="1">
      <c r="A43" s="13">
        <f>Heat_Raw!A43</f>
        <v>780</v>
      </c>
      <c r="B43" s="12">
        <f>Heat_Raw!B43</f>
        <v>2385.4</v>
      </c>
      <c r="C43" s="12">
        <f>Inputs!$B$33</f>
        <v>2276.725</v>
      </c>
      <c r="D43" s="12">
        <f t="shared" si="1"/>
        <v>108.675</v>
      </c>
      <c r="E43" s="11">
        <f>D43/Inputs!$B$25</f>
        <v>0.0004347</v>
      </c>
      <c r="F43" s="12">
        <f t="shared" si="2"/>
        <v>0.4347</v>
      </c>
      <c r="G43" s="5" t="str">
        <f t="shared" si="3"/>
        <v>Melting started</v>
      </c>
      <c r="H43" s="11">
        <f t="array" ref="H43">MAX(0,E43-IFERROR(INDEX(Sogginess_Calc!$E$4:$E$94,MATCH(A43,Sogginess_Calc!$A$4:$A$94,0)),0))</f>
        <v>0</v>
      </c>
      <c r="I43" s="12">
        <f t="shared" si="4"/>
        <v>0</v>
      </c>
    </row>
    <row r="44" ht="15.75" customHeight="1">
      <c r="A44" s="13">
        <f>Heat_Raw!A44</f>
        <v>800</v>
      </c>
      <c r="B44" s="12">
        <f>Heat_Raw!B44</f>
        <v>2435.4</v>
      </c>
      <c r="C44" s="12">
        <f>Inputs!$B$33</f>
        <v>2276.725</v>
      </c>
      <c r="D44" s="12">
        <f t="shared" si="1"/>
        <v>158.675</v>
      </c>
      <c r="E44" s="11">
        <f>D44/Inputs!$B$25</f>
        <v>0.0006347</v>
      </c>
      <c r="F44" s="12">
        <f t="shared" si="2"/>
        <v>0.6347</v>
      </c>
      <c r="G44" s="5" t="str">
        <f t="shared" si="3"/>
        <v>Melting started</v>
      </c>
      <c r="H44" s="11">
        <f t="array" ref="H44">MAX(0,E44-IFERROR(INDEX(Sogginess_Calc!$E$4:$E$94,MATCH(A44,Sogginess_Calc!$A$4:$A$94,0)),0))</f>
        <v>0.00003318</v>
      </c>
      <c r="I44" s="12">
        <f t="shared" si="4"/>
        <v>0.03318</v>
      </c>
    </row>
    <row r="45" ht="15.75" customHeight="1">
      <c r="A45" s="13">
        <f>Heat_Raw!A45</f>
        <v>820</v>
      </c>
      <c r="B45" s="12">
        <f>Heat_Raw!B45</f>
        <v>2485.5</v>
      </c>
      <c r="C45" s="12">
        <f>Inputs!$B$33</f>
        <v>2276.725</v>
      </c>
      <c r="D45" s="12">
        <f t="shared" si="1"/>
        <v>208.775</v>
      </c>
      <c r="E45" s="11">
        <f>D45/Inputs!$B$25</f>
        <v>0.0008351</v>
      </c>
      <c r="F45" s="12">
        <f t="shared" si="2"/>
        <v>0.8351</v>
      </c>
      <c r="G45" s="5" t="str">
        <f t="shared" si="3"/>
        <v>Melting started</v>
      </c>
      <c r="H45" s="11">
        <f t="array" ref="H45">MAX(0,E45-IFERROR(INDEX(Sogginess_Calc!$E$4:$E$94,MATCH(A45,Sogginess_Calc!$A$4:$A$94,0)),0))</f>
        <v>0.00022558</v>
      </c>
      <c r="I45" s="12">
        <f t="shared" si="4"/>
        <v>0.22558</v>
      </c>
    </row>
    <row r="46" ht="15.75" customHeight="1">
      <c r="A46" s="13">
        <f>Heat_Raw!A46</f>
        <v>840</v>
      </c>
      <c r="B46" s="12">
        <f>Heat_Raw!B46</f>
        <v>2535.5</v>
      </c>
      <c r="C46" s="12">
        <f>Inputs!$B$33</f>
        <v>2276.725</v>
      </c>
      <c r="D46" s="12">
        <f t="shared" si="1"/>
        <v>258.775</v>
      </c>
      <c r="E46" s="11">
        <f>D46/Inputs!$B$25</f>
        <v>0.0010351</v>
      </c>
      <c r="F46" s="12">
        <f t="shared" si="2"/>
        <v>1.0351</v>
      </c>
      <c r="G46" s="5" t="str">
        <f t="shared" si="3"/>
        <v>Melting started</v>
      </c>
      <c r="H46" s="11">
        <f t="array" ref="H46">MAX(0,E46-IFERROR(INDEX(Sogginess_Calc!$E$4:$E$94,MATCH(A46,Sogginess_Calc!$A$4:$A$94,0)),0))</f>
        <v>0.00041762</v>
      </c>
      <c r="I46" s="12">
        <f t="shared" si="4"/>
        <v>0.41762</v>
      </c>
    </row>
    <row r="47" ht="15.75" customHeight="1">
      <c r="A47" s="13">
        <f>Heat_Raw!A47</f>
        <v>860</v>
      </c>
      <c r="B47" s="12">
        <f>Heat_Raw!B47</f>
        <v>2585.6</v>
      </c>
      <c r="C47" s="12">
        <f>Inputs!$B$33</f>
        <v>2276.725</v>
      </c>
      <c r="D47" s="12">
        <f t="shared" si="1"/>
        <v>308.875</v>
      </c>
      <c r="E47" s="11">
        <f>D47/Inputs!$B$25</f>
        <v>0.0012355</v>
      </c>
      <c r="F47" s="12">
        <f t="shared" si="2"/>
        <v>1.2355</v>
      </c>
      <c r="G47" s="5" t="str">
        <f t="shared" si="3"/>
        <v>Melting started</v>
      </c>
      <c r="H47" s="11">
        <f t="array" ref="H47">MAX(0,E47-IFERROR(INDEX(Sogginess_Calc!$E$4:$E$94,MATCH(A47,Sogginess_Calc!$A$4:$A$94,0)),0))</f>
        <v>0.00061018</v>
      </c>
      <c r="I47" s="12">
        <f t="shared" si="4"/>
        <v>0.61018</v>
      </c>
    </row>
    <row r="48" ht="15.75" customHeight="1">
      <c r="A48" s="13">
        <f>Heat_Raw!A48</f>
        <v>880</v>
      </c>
      <c r="B48" s="12">
        <f>Heat_Raw!B48</f>
        <v>2635.6</v>
      </c>
      <c r="C48" s="12">
        <f>Inputs!$B$33</f>
        <v>2276.725</v>
      </c>
      <c r="D48" s="12">
        <f t="shared" si="1"/>
        <v>358.875</v>
      </c>
      <c r="E48" s="11">
        <f>D48/Inputs!$B$25</f>
        <v>0.0014355</v>
      </c>
      <c r="F48" s="12">
        <f t="shared" si="2"/>
        <v>1.4355</v>
      </c>
      <c r="G48" s="5" t="str">
        <f t="shared" si="3"/>
        <v>Melting started</v>
      </c>
      <c r="H48" s="11">
        <f t="array" ref="H48">MAX(0,E48-IFERROR(INDEX(Sogginess_Calc!$E$4:$E$94,MATCH(A48,Sogginess_Calc!$A$4:$A$94,0)),0))</f>
        <v>0.00080238</v>
      </c>
      <c r="I48" s="12">
        <f t="shared" si="4"/>
        <v>0.80238</v>
      </c>
    </row>
    <row r="49" ht="15.75" customHeight="1">
      <c r="A49" s="13">
        <f>Heat_Raw!A49</f>
        <v>900</v>
      </c>
      <c r="B49" s="12">
        <f>Heat_Raw!B49</f>
        <v>2682.7</v>
      </c>
      <c r="C49" s="12">
        <f>Inputs!$B$33</f>
        <v>2276.725</v>
      </c>
      <c r="D49" s="12">
        <f t="shared" si="1"/>
        <v>405.975</v>
      </c>
      <c r="E49" s="11">
        <f>D49/Inputs!$B$25</f>
        <v>0.0016239</v>
      </c>
      <c r="F49" s="12">
        <f t="shared" si="2"/>
        <v>1.6239</v>
      </c>
      <c r="G49" s="5" t="str">
        <f t="shared" si="3"/>
        <v>Melting started</v>
      </c>
      <c r="H49" s="11">
        <f t="array" ref="H49">MAX(0,E49-IFERROR(INDEX(Sogginess_Calc!$E$4:$E$94,MATCH(A49,Sogginess_Calc!$A$4:$A$94,0)),0))</f>
        <v>0.0009831</v>
      </c>
      <c r="I49" s="12">
        <f t="shared" si="4"/>
        <v>0.9831</v>
      </c>
    </row>
    <row r="50" ht="15.75" customHeight="1">
      <c r="A50" s="13">
        <f>Heat_Raw!A50</f>
        <v>920</v>
      </c>
      <c r="B50" s="12">
        <f>Heat_Raw!B50</f>
        <v>2728.8</v>
      </c>
      <c r="C50" s="12">
        <f>Inputs!$B$33</f>
        <v>2276.725</v>
      </c>
      <c r="D50" s="12">
        <f t="shared" si="1"/>
        <v>452.075</v>
      </c>
      <c r="E50" s="11">
        <f>D50/Inputs!$B$25</f>
        <v>0.0018083</v>
      </c>
      <c r="F50" s="12">
        <f t="shared" si="2"/>
        <v>1.8083</v>
      </c>
      <c r="G50" s="5" t="str">
        <f t="shared" si="3"/>
        <v>Melting started</v>
      </c>
      <c r="H50" s="11">
        <f t="array" ref="H50">MAX(0,E50-IFERROR(INDEX(Sogginess_Calc!$E$4:$E$94,MATCH(A50,Sogginess_Calc!$A$4:$A$94,0)),0))</f>
        <v>0.00115986</v>
      </c>
      <c r="I50" s="12">
        <f t="shared" si="4"/>
        <v>1.15986</v>
      </c>
    </row>
    <row r="51" ht="15.75" customHeight="1">
      <c r="A51" s="13">
        <f>Heat_Raw!A51</f>
        <v>940</v>
      </c>
      <c r="B51" s="12">
        <f>Heat_Raw!B51</f>
        <v>2774.8</v>
      </c>
      <c r="C51" s="12">
        <f>Inputs!$B$33</f>
        <v>2276.725</v>
      </c>
      <c r="D51" s="12">
        <f t="shared" si="1"/>
        <v>498.075</v>
      </c>
      <c r="E51" s="11">
        <f>D51/Inputs!$B$25</f>
        <v>0.0019923</v>
      </c>
      <c r="F51" s="12">
        <f t="shared" si="2"/>
        <v>1.9923</v>
      </c>
      <c r="G51" s="5" t="str">
        <f t="shared" si="3"/>
        <v>Melting started</v>
      </c>
      <c r="H51" s="11">
        <f t="array" ref="H51">MAX(0,E51-IFERROR(INDEX(Sogginess_Calc!$E$4:$E$94,MATCH(A51,Sogginess_Calc!$A$4:$A$94,0)),0))</f>
        <v>0.0013363</v>
      </c>
      <c r="I51" s="12">
        <f t="shared" si="4"/>
        <v>1.3363</v>
      </c>
    </row>
    <row r="52" ht="15.75" customHeight="1">
      <c r="A52" s="13">
        <f>Heat_Raw!A52</f>
        <v>960</v>
      </c>
      <c r="B52" s="12">
        <f>Heat_Raw!B52</f>
        <v>2820.9</v>
      </c>
      <c r="C52" s="12">
        <f>Inputs!$B$33</f>
        <v>2276.725</v>
      </c>
      <c r="D52" s="12">
        <f t="shared" si="1"/>
        <v>544.175</v>
      </c>
      <c r="E52" s="11">
        <f>D52/Inputs!$B$25</f>
        <v>0.0021767</v>
      </c>
      <c r="F52" s="12">
        <f t="shared" si="2"/>
        <v>2.1767</v>
      </c>
      <c r="G52" s="5" t="str">
        <f t="shared" si="3"/>
        <v>Melting started</v>
      </c>
      <c r="H52" s="11">
        <f t="array" ref="H52">MAX(0,E52-IFERROR(INDEX(Sogginess_Calc!$E$4:$E$94,MATCH(A52,Sogginess_Calc!$A$4:$A$94,0)),0))</f>
        <v>0.00151326</v>
      </c>
      <c r="I52" s="12">
        <f t="shared" si="4"/>
        <v>1.51326</v>
      </c>
    </row>
    <row r="53" ht="15.75" customHeight="1">
      <c r="A53" s="13">
        <f>Heat_Raw!A53</f>
        <v>980</v>
      </c>
      <c r="B53" s="12">
        <f>Heat_Raw!B53</f>
        <v>2866.9</v>
      </c>
      <c r="C53" s="12">
        <f>Inputs!$B$33</f>
        <v>2276.725</v>
      </c>
      <c r="D53" s="12">
        <f t="shared" si="1"/>
        <v>590.175</v>
      </c>
      <c r="E53" s="11">
        <f>D53/Inputs!$B$25</f>
        <v>0.0023607</v>
      </c>
      <c r="F53" s="12">
        <f t="shared" si="2"/>
        <v>2.3607</v>
      </c>
      <c r="G53" s="5" t="str">
        <f t="shared" si="3"/>
        <v>Melting started</v>
      </c>
      <c r="H53" s="11">
        <f t="array" ref="H53">MAX(0,E53-IFERROR(INDEX(Sogginess_Calc!$E$4:$E$94,MATCH(A53,Sogginess_Calc!$A$4:$A$94,0)),0))</f>
        <v>0.00168982</v>
      </c>
      <c r="I53" s="12">
        <f t="shared" si="4"/>
        <v>1.68982</v>
      </c>
    </row>
    <row r="54" ht="15.75" customHeight="1">
      <c r="A54" s="13">
        <f>Heat_Raw!A54</f>
        <v>1000</v>
      </c>
      <c r="B54" s="12">
        <f>Heat_Raw!B54</f>
        <v>2913</v>
      </c>
      <c r="C54" s="12">
        <f>Inputs!$B$33</f>
        <v>2276.725</v>
      </c>
      <c r="D54" s="12">
        <f t="shared" si="1"/>
        <v>636.275</v>
      </c>
      <c r="E54" s="11">
        <f>D54/Inputs!$B$25</f>
        <v>0.0025451</v>
      </c>
      <c r="F54" s="12">
        <f t="shared" si="2"/>
        <v>2.5451</v>
      </c>
      <c r="G54" s="5" t="str">
        <f t="shared" si="3"/>
        <v>Melting started</v>
      </c>
      <c r="H54" s="11">
        <f t="array" ref="H54">MAX(0,E54-IFERROR(INDEX(Sogginess_Calc!$E$4:$E$94,MATCH(A54,Sogginess_Calc!$A$4:$A$94,0)),0))</f>
        <v>0.0018669</v>
      </c>
      <c r="I54" s="12">
        <f t="shared" si="4"/>
        <v>1.8669</v>
      </c>
    </row>
    <row r="55" ht="15.75" customHeight="1">
      <c r="A55" s="13">
        <f>Heat_Raw!A55</f>
        <v>1020</v>
      </c>
      <c r="B55" s="12">
        <f>Heat_Raw!B55</f>
        <v>2959</v>
      </c>
      <c r="C55" s="12">
        <f>Inputs!$B$33</f>
        <v>2276.725</v>
      </c>
      <c r="D55" s="12">
        <f t="shared" si="1"/>
        <v>682.275</v>
      </c>
      <c r="E55" s="11">
        <f>D55/Inputs!$B$25</f>
        <v>0.0027291</v>
      </c>
      <c r="F55" s="12">
        <f t="shared" si="2"/>
        <v>2.7291</v>
      </c>
      <c r="G55" s="5" t="str">
        <f t="shared" si="3"/>
        <v>Melting started</v>
      </c>
      <c r="H55" s="11">
        <f t="array" ref="H55">MAX(0,E55-IFERROR(INDEX(Sogginess_Calc!$E$4:$E$94,MATCH(A55,Sogginess_Calc!$A$4:$A$94,0)),0))</f>
        <v>0.00204362</v>
      </c>
      <c r="I55" s="12">
        <f t="shared" si="4"/>
        <v>2.04362</v>
      </c>
    </row>
    <row r="56" ht="15.75" customHeight="1">
      <c r="A56" s="13">
        <f>Heat_Raw!A56</f>
        <v>1040</v>
      </c>
      <c r="B56" s="12">
        <f>Heat_Raw!B56</f>
        <v>3005.1</v>
      </c>
      <c r="C56" s="12">
        <f>Inputs!$B$33</f>
        <v>2276.725</v>
      </c>
      <c r="D56" s="12">
        <f t="shared" si="1"/>
        <v>728.375</v>
      </c>
      <c r="E56" s="11">
        <f>D56/Inputs!$B$25</f>
        <v>0.0029135</v>
      </c>
      <c r="F56" s="12">
        <f t="shared" si="2"/>
        <v>2.9135</v>
      </c>
      <c r="G56" s="5" t="str">
        <f t="shared" si="3"/>
        <v>Melting started</v>
      </c>
      <c r="H56" s="11">
        <f t="array" ref="H56">MAX(0,E56-IFERROR(INDEX(Sogginess_Calc!$E$4:$E$94,MATCH(A56,Sogginess_Calc!$A$4:$A$94,0)),0))</f>
        <v>0.00222082</v>
      </c>
      <c r="I56" s="12">
        <f t="shared" si="4"/>
        <v>2.22082</v>
      </c>
    </row>
    <row r="57" ht="15.75" customHeight="1">
      <c r="A57" s="13">
        <f>Heat_Raw!A57</f>
        <v>1060</v>
      </c>
      <c r="B57" s="12">
        <f>Heat_Raw!B57</f>
        <v>3051.1</v>
      </c>
      <c r="C57" s="12">
        <f>Inputs!$B$33</f>
        <v>2276.725</v>
      </c>
      <c r="D57" s="12">
        <f t="shared" si="1"/>
        <v>774.375</v>
      </c>
      <c r="E57" s="11">
        <f>D57/Inputs!$B$25</f>
        <v>0.0030975</v>
      </c>
      <c r="F57" s="12">
        <f t="shared" si="2"/>
        <v>3.0975</v>
      </c>
      <c r="G57" s="5" t="str">
        <f t="shared" si="3"/>
        <v>Melting started</v>
      </c>
      <c r="H57" s="11">
        <f t="array" ref="H57">MAX(0,E57-IFERROR(INDEX(Sogginess_Calc!$E$4:$E$94,MATCH(A57,Sogginess_Calc!$A$4:$A$94,0)),0))</f>
        <v>0.00239766</v>
      </c>
      <c r="I57" s="12">
        <f t="shared" si="4"/>
        <v>2.39766</v>
      </c>
    </row>
    <row r="58" ht="15.75" customHeight="1">
      <c r="A58" s="13">
        <f>Heat_Raw!A58</f>
        <v>1080</v>
      </c>
      <c r="B58" s="12">
        <f>Heat_Raw!B58</f>
        <v>3096.2</v>
      </c>
      <c r="C58" s="12">
        <f>Inputs!$B$33</f>
        <v>2276.725</v>
      </c>
      <c r="D58" s="12">
        <f t="shared" si="1"/>
        <v>819.475</v>
      </c>
      <c r="E58" s="11">
        <f>D58/Inputs!$B$25</f>
        <v>0.0032779</v>
      </c>
      <c r="F58" s="12">
        <f t="shared" si="2"/>
        <v>3.2779</v>
      </c>
      <c r="G58" s="5" t="str">
        <f t="shared" si="3"/>
        <v>Melting started</v>
      </c>
      <c r="H58" s="11">
        <f t="array" ref="H58">MAX(0,E58-IFERROR(INDEX(Sogginess_Calc!$E$4:$E$94,MATCH(A58,Sogginess_Calc!$A$4:$A$94,0)),0))</f>
        <v>0.00257098</v>
      </c>
      <c r="I58" s="12">
        <f t="shared" si="4"/>
        <v>2.57098</v>
      </c>
    </row>
    <row r="59" ht="15.75" customHeight="1">
      <c r="A59" s="13">
        <f>Heat_Raw!A59</f>
        <v>1100</v>
      </c>
      <c r="B59" s="12">
        <f>Heat_Raw!B59</f>
        <v>3140.6</v>
      </c>
      <c r="C59" s="12">
        <f>Inputs!$B$33</f>
        <v>2276.725</v>
      </c>
      <c r="D59" s="12">
        <f t="shared" si="1"/>
        <v>863.875</v>
      </c>
      <c r="E59" s="11">
        <f>D59/Inputs!$B$25</f>
        <v>0.0034555</v>
      </c>
      <c r="F59" s="12">
        <f t="shared" si="2"/>
        <v>3.4555</v>
      </c>
      <c r="G59" s="5" t="str">
        <f t="shared" si="3"/>
        <v>Melting started</v>
      </c>
      <c r="H59" s="11">
        <f t="array" ref="H59">MAX(0,E59-IFERROR(INDEX(Sogginess_Calc!$E$4:$E$94,MATCH(A59,Sogginess_Calc!$A$4:$A$94,0)),0))</f>
        <v>0.00274154</v>
      </c>
      <c r="I59" s="12">
        <f t="shared" si="4"/>
        <v>2.74154</v>
      </c>
    </row>
    <row r="60" ht="15.75" customHeight="1">
      <c r="A60" s="13">
        <f>Heat_Raw!A60</f>
        <v>1120</v>
      </c>
      <c r="B60" s="12">
        <f>Heat_Raw!B60</f>
        <v>3184.7</v>
      </c>
      <c r="C60" s="12">
        <f>Inputs!$B$33</f>
        <v>2276.725</v>
      </c>
      <c r="D60" s="12">
        <f t="shared" si="1"/>
        <v>907.975</v>
      </c>
      <c r="E60" s="11">
        <f>D60/Inputs!$B$25</f>
        <v>0.0036319</v>
      </c>
      <c r="F60" s="12">
        <f t="shared" si="2"/>
        <v>3.6319</v>
      </c>
      <c r="G60" s="5" t="str">
        <f t="shared" si="3"/>
        <v>Melting started</v>
      </c>
      <c r="H60" s="11">
        <f t="array" ref="H60">MAX(0,E60-IFERROR(INDEX(Sogginess_Calc!$E$4:$E$94,MATCH(A60,Sogginess_Calc!$A$4:$A$94,0)),0))</f>
        <v>0.00291098</v>
      </c>
      <c r="I60" s="12">
        <f t="shared" si="4"/>
        <v>2.91098</v>
      </c>
    </row>
    <row r="61" ht="15.75" customHeight="1">
      <c r="A61" s="13">
        <f>Heat_Raw!A61</f>
        <v>1140</v>
      </c>
      <c r="B61" s="12">
        <f>Heat_Raw!B61</f>
        <v>3228.6</v>
      </c>
      <c r="C61" s="12">
        <f>Inputs!$B$33</f>
        <v>2276.725</v>
      </c>
      <c r="D61" s="12">
        <f t="shared" si="1"/>
        <v>951.875</v>
      </c>
      <c r="E61" s="11">
        <f>D61/Inputs!$B$25</f>
        <v>0.0038075</v>
      </c>
      <c r="F61" s="12">
        <f t="shared" si="2"/>
        <v>3.8075</v>
      </c>
      <c r="G61" s="5" t="str">
        <f t="shared" si="3"/>
        <v>Melting started</v>
      </c>
      <c r="H61" s="11">
        <f t="array" ref="H61">MAX(0,E61-IFERROR(INDEX(Sogginess_Calc!$E$4:$E$94,MATCH(A61,Sogginess_Calc!$A$4:$A$94,0)),0))</f>
        <v>0.00307966</v>
      </c>
      <c r="I61" s="12">
        <f t="shared" si="4"/>
        <v>3.07966</v>
      </c>
    </row>
    <row r="62" ht="15.75" customHeight="1">
      <c r="A62" s="13">
        <f>Heat_Raw!A62</f>
        <v>1160</v>
      </c>
      <c r="B62" s="12">
        <f>Heat_Raw!B62</f>
        <v>3272.2</v>
      </c>
      <c r="C62" s="12">
        <f>Inputs!$B$33</f>
        <v>2276.725</v>
      </c>
      <c r="D62" s="12">
        <f t="shared" si="1"/>
        <v>995.475</v>
      </c>
      <c r="E62" s="11">
        <f>D62/Inputs!$B$25</f>
        <v>0.0039819</v>
      </c>
      <c r="F62" s="12">
        <f t="shared" si="2"/>
        <v>3.9819</v>
      </c>
      <c r="G62" s="5" t="str">
        <f t="shared" si="3"/>
        <v>Melting started</v>
      </c>
      <c r="H62" s="11">
        <f t="array" ref="H62">MAX(0,E62-IFERROR(INDEX(Sogginess_Calc!$E$4:$E$94,MATCH(A62,Sogginess_Calc!$A$4:$A$94,0)),0))</f>
        <v>0.00324718</v>
      </c>
      <c r="I62" s="12">
        <f t="shared" si="4"/>
        <v>3.24718</v>
      </c>
    </row>
    <row r="63" ht="15.75" customHeight="1">
      <c r="A63" s="13">
        <f>Heat_Raw!A63</f>
        <v>1180</v>
      </c>
      <c r="B63" s="12">
        <f>Heat_Raw!B63</f>
        <v>3315.5</v>
      </c>
      <c r="C63" s="12">
        <f>Inputs!$B$33</f>
        <v>2276.725</v>
      </c>
      <c r="D63" s="12">
        <f t="shared" si="1"/>
        <v>1038.775</v>
      </c>
      <c r="E63" s="11">
        <f>D63/Inputs!$B$25</f>
        <v>0.0041551</v>
      </c>
      <c r="F63" s="12">
        <f t="shared" si="2"/>
        <v>4.1551</v>
      </c>
      <c r="G63" s="5" t="str">
        <f t="shared" si="3"/>
        <v>Melting started</v>
      </c>
      <c r="H63" s="11">
        <f t="array" ref="H63">MAX(0,E63-IFERROR(INDEX(Sogginess_Calc!$E$4:$E$94,MATCH(A63,Sogginess_Calc!$A$4:$A$94,0)),0))</f>
        <v>0.00341358</v>
      </c>
      <c r="I63" s="12">
        <f t="shared" si="4"/>
        <v>3.41358</v>
      </c>
    </row>
    <row r="64" ht="15.75" customHeight="1">
      <c r="A64" s="13">
        <f>Heat_Raw!A64</f>
        <v>1200</v>
      </c>
      <c r="B64" s="12">
        <f>Heat_Raw!B64</f>
        <v>3358.5</v>
      </c>
      <c r="C64" s="12">
        <f>Inputs!$B$33</f>
        <v>2276.725</v>
      </c>
      <c r="D64" s="12">
        <f t="shared" si="1"/>
        <v>1081.775</v>
      </c>
      <c r="E64" s="11">
        <f>D64/Inputs!$B$25</f>
        <v>0.0043271</v>
      </c>
      <c r="F64" s="12">
        <f t="shared" si="2"/>
        <v>4.3271</v>
      </c>
      <c r="G64" s="5" t="str">
        <f t="shared" si="3"/>
        <v>Melting started</v>
      </c>
      <c r="H64" s="11">
        <f t="array" ref="H64">MAX(0,E64-IFERROR(INDEX(Sogginess_Calc!$E$4:$E$94,MATCH(A64,Sogginess_Calc!$A$4:$A$94,0)),0))</f>
        <v>0.00357882</v>
      </c>
      <c r="I64" s="12">
        <f t="shared" si="4"/>
        <v>3.57882</v>
      </c>
    </row>
    <row r="65" ht="15.75" customHeight="1">
      <c r="A65" s="13">
        <f>Heat_Raw!A65</f>
        <v>1220</v>
      </c>
      <c r="B65" s="12">
        <f>Heat_Raw!B65</f>
        <v>3401.2</v>
      </c>
      <c r="C65" s="12">
        <f>Inputs!$B$33</f>
        <v>2276.725</v>
      </c>
      <c r="D65" s="12">
        <f t="shared" si="1"/>
        <v>1124.475</v>
      </c>
      <c r="E65" s="11">
        <f>D65/Inputs!$B$25</f>
        <v>0.0044979</v>
      </c>
      <c r="F65" s="12">
        <f t="shared" si="2"/>
        <v>4.4979</v>
      </c>
      <c r="G65" s="5" t="str">
        <f t="shared" si="3"/>
        <v>Melting started</v>
      </c>
      <c r="H65" s="11">
        <f t="array" ref="H65">MAX(0,E65-IFERROR(INDEX(Sogginess_Calc!$E$4:$E$94,MATCH(A65,Sogginess_Calc!$A$4:$A$94,0)),0))</f>
        <v>0.0037429</v>
      </c>
      <c r="I65" s="12">
        <f t="shared" si="4"/>
        <v>3.7429</v>
      </c>
    </row>
    <row r="66" ht="15.75" customHeight="1">
      <c r="A66" s="13">
        <f>Heat_Raw!A66</f>
        <v>1240</v>
      </c>
      <c r="B66" s="12">
        <f>Heat_Raw!B66</f>
        <v>3443.7</v>
      </c>
      <c r="C66" s="12">
        <f>Inputs!$B$33</f>
        <v>2276.725</v>
      </c>
      <c r="D66" s="12">
        <f t="shared" si="1"/>
        <v>1166.975</v>
      </c>
      <c r="E66" s="11">
        <f>D66/Inputs!$B$25</f>
        <v>0.0046679</v>
      </c>
      <c r="F66" s="12">
        <f t="shared" si="2"/>
        <v>4.6679</v>
      </c>
      <c r="G66" s="5" t="str">
        <f t="shared" si="3"/>
        <v>Melting started</v>
      </c>
      <c r="H66" s="11">
        <f t="array" ref="H66">MAX(0,E66-IFERROR(INDEX(Sogginess_Calc!$E$4:$E$94,MATCH(A66,Sogginess_Calc!$A$4:$A$94,0)),0))</f>
        <v>0.00390626</v>
      </c>
      <c r="I66" s="12">
        <f t="shared" si="4"/>
        <v>3.90626</v>
      </c>
    </row>
    <row r="67" ht="15.75" customHeight="1">
      <c r="A67" s="13">
        <f>Heat_Raw!A67</f>
        <v>1260</v>
      </c>
      <c r="B67" s="12">
        <f>Heat_Raw!B67</f>
        <v>3485.6</v>
      </c>
      <c r="C67" s="12">
        <f>Inputs!$B$33</f>
        <v>2276.725</v>
      </c>
      <c r="D67" s="12">
        <f t="shared" si="1"/>
        <v>1208.875</v>
      </c>
      <c r="E67" s="11">
        <f>D67/Inputs!$B$25</f>
        <v>0.0048355</v>
      </c>
      <c r="F67" s="12">
        <f t="shared" si="2"/>
        <v>4.8355</v>
      </c>
      <c r="G67" s="5" t="str">
        <f t="shared" si="3"/>
        <v>Melting started</v>
      </c>
      <c r="H67" s="11">
        <f t="array" ref="H67">MAX(0,E67-IFERROR(INDEX(Sogginess_Calc!$E$4:$E$94,MATCH(A67,Sogginess_Calc!$A$4:$A$94,0)),0))</f>
        <v>0.00406722</v>
      </c>
      <c r="I67" s="12">
        <f t="shared" si="4"/>
        <v>4.06722</v>
      </c>
    </row>
    <row r="68" ht="15.75" customHeight="1">
      <c r="A68" s="13">
        <f>Heat_Raw!A68</f>
        <v>1280</v>
      </c>
      <c r="B68" s="12">
        <f>Heat_Raw!B68</f>
        <v>3527.2</v>
      </c>
      <c r="C68" s="12">
        <f>Inputs!$B$33</f>
        <v>2276.725</v>
      </c>
      <c r="D68" s="12">
        <f t="shared" si="1"/>
        <v>1250.475</v>
      </c>
      <c r="E68" s="11">
        <f>D68/Inputs!$B$25</f>
        <v>0.0050019</v>
      </c>
      <c r="F68" s="12">
        <f t="shared" si="2"/>
        <v>5.0019</v>
      </c>
      <c r="G68" s="5" t="str">
        <f t="shared" si="3"/>
        <v>Melting started</v>
      </c>
      <c r="H68" s="11">
        <f t="array" ref="H68">MAX(0,E68-IFERROR(INDEX(Sogginess_Calc!$E$4:$E$94,MATCH(A68,Sogginess_Calc!$A$4:$A$94,0)),0))</f>
        <v>0.00422706</v>
      </c>
      <c r="I68" s="12">
        <f t="shared" si="4"/>
        <v>4.22706</v>
      </c>
    </row>
    <row r="69" ht="15.75" customHeight="1">
      <c r="A69" s="13">
        <f>Heat_Raw!A69</f>
        <v>1300</v>
      </c>
      <c r="B69" s="12">
        <f>Heat_Raw!B69</f>
        <v>3568.4</v>
      </c>
      <c r="C69" s="12">
        <f>Inputs!$B$33</f>
        <v>2276.725</v>
      </c>
      <c r="D69" s="12">
        <f t="shared" si="1"/>
        <v>1291.675</v>
      </c>
      <c r="E69" s="11">
        <f>D69/Inputs!$B$25</f>
        <v>0.0051667</v>
      </c>
      <c r="F69" s="12">
        <f t="shared" si="2"/>
        <v>5.1667</v>
      </c>
      <c r="G69" s="5" t="str">
        <f t="shared" si="3"/>
        <v>Melting started</v>
      </c>
      <c r="H69" s="11">
        <f t="array" ref="H69">MAX(0,E69-IFERROR(INDEX(Sogginess_Calc!$E$4:$E$94,MATCH(A69,Sogginess_Calc!$A$4:$A$94,0)),0))</f>
        <v>0.00438534</v>
      </c>
      <c r="I69" s="12">
        <f t="shared" si="4"/>
        <v>4.38534</v>
      </c>
    </row>
    <row r="70" ht="15.75" customHeight="1">
      <c r="A70" s="13">
        <f>Heat_Raw!A70</f>
        <v>1320</v>
      </c>
      <c r="B70" s="12">
        <f>Heat_Raw!B70</f>
        <v>3609.2</v>
      </c>
      <c r="C70" s="12">
        <f>Inputs!$B$33</f>
        <v>2276.725</v>
      </c>
      <c r="D70" s="12">
        <f t="shared" si="1"/>
        <v>1332.475</v>
      </c>
      <c r="E70" s="11">
        <f>D70/Inputs!$B$25</f>
        <v>0.0053299</v>
      </c>
      <c r="F70" s="12">
        <f t="shared" si="2"/>
        <v>5.3299</v>
      </c>
      <c r="G70" s="5" t="str">
        <f t="shared" si="3"/>
        <v>Melting started</v>
      </c>
      <c r="H70" s="11">
        <f t="array" ref="H70">MAX(0,E70-IFERROR(INDEX(Sogginess_Calc!$E$4:$E$94,MATCH(A70,Sogginess_Calc!$A$4:$A$94,0)),0))</f>
        <v>0.00454202</v>
      </c>
      <c r="I70" s="12">
        <f t="shared" si="4"/>
        <v>4.54202</v>
      </c>
    </row>
    <row r="71" ht="15.75" customHeight="1">
      <c r="A71" s="13">
        <f>Heat_Raw!A71</f>
        <v>1340</v>
      </c>
      <c r="B71" s="12">
        <f>Heat_Raw!B71</f>
        <v>3649.7</v>
      </c>
      <c r="C71" s="12">
        <f>Inputs!$B$33</f>
        <v>2276.725</v>
      </c>
      <c r="D71" s="12">
        <f t="shared" si="1"/>
        <v>1372.975</v>
      </c>
      <c r="E71" s="11">
        <f>D71/Inputs!$B$25</f>
        <v>0.0054919</v>
      </c>
      <c r="F71" s="12">
        <f t="shared" si="2"/>
        <v>5.4919</v>
      </c>
      <c r="G71" s="5" t="str">
        <f t="shared" si="3"/>
        <v>Melting started</v>
      </c>
      <c r="H71" s="11">
        <f t="array" ref="H71">MAX(0,E71-IFERROR(INDEX(Sogginess_Calc!$E$4:$E$94,MATCH(A71,Sogginess_Calc!$A$4:$A$94,0)),0))</f>
        <v>0.0046979</v>
      </c>
      <c r="I71" s="12">
        <f t="shared" si="4"/>
        <v>4.6979</v>
      </c>
    </row>
    <row r="72" ht="15.75" customHeight="1">
      <c r="A72" s="13">
        <f>Heat_Raw!A72</f>
        <v>1360</v>
      </c>
      <c r="B72" s="12">
        <f>Heat_Raw!B72</f>
        <v>3689.9</v>
      </c>
      <c r="C72" s="12">
        <f>Inputs!$B$33</f>
        <v>2276.725</v>
      </c>
      <c r="D72" s="12">
        <f t="shared" si="1"/>
        <v>1413.175</v>
      </c>
      <c r="E72" s="11">
        <f>D72/Inputs!$B$25</f>
        <v>0.0056527</v>
      </c>
      <c r="F72" s="12">
        <f t="shared" si="2"/>
        <v>5.6527</v>
      </c>
      <c r="G72" s="5" t="str">
        <f t="shared" si="3"/>
        <v>Melting started</v>
      </c>
      <c r="H72" s="11">
        <f t="array" ref="H72">MAX(0,E72-IFERROR(INDEX(Sogginess_Calc!$E$4:$E$94,MATCH(A72,Sogginess_Calc!$A$4:$A$94,0)),0))</f>
        <v>0.00485198</v>
      </c>
      <c r="I72" s="12">
        <f t="shared" si="4"/>
        <v>4.85198</v>
      </c>
    </row>
    <row r="73" ht="15.75" customHeight="1">
      <c r="A73" s="13">
        <f>Heat_Raw!A73</f>
        <v>1380</v>
      </c>
      <c r="B73" s="12">
        <f>Heat_Raw!B73</f>
        <v>3729.7</v>
      </c>
      <c r="C73" s="12">
        <f>Inputs!$B$33</f>
        <v>2276.725</v>
      </c>
      <c r="D73" s="12">
        <f t="shared" si="1"/>
        <v>1452.975</v>
      </c>
      <c r="E73" s="11">
        <f>D73/Inputs!$B$25</f>
        <v>0.0058119</v>
      </c>
      <c r="F73" s="12">
        <f t="shared" si="2"/>
        <v>5.8119</v>
      </c>
      <c r="G73" s="5" t="str">
        <f t="shared" si="3"/>
        <v>Melting started</v>
      </c>
      <c r="H73" s="11">
        <f t="array" ref="H73">MAX(0,E73-IFERROR(INDEX(Sogginess_Calc!$E$4:$E$94,MATCH(A73,Sogginess_Calc!$A$4:$A$94,0)),0))</f>
        <v>0.00500478</v>
      </c>
      <c r="I73" s="12">
        <f t="shared" si="4"/>
        <v>5.00478</v>
      </c>
    </row>
    <row r="74" ht="15.75" customHeight="1">
      <c r="A74" s="13">
        <f>Heat_Raw!A74</f>
        <v>1400</v>
      </c>
      <c r="B74" s="12">
        <f>Heat_Raw!B74</f>
        <v>3769.2</v>
      </c>
      <c r="C74" s="12">
        <f>Inputs!$B$33</f>
        <v>2276.725</v>
      </c>
      <c r="D74" s="12">
        <f t="shared" si="1"/>
        <v>1492.475</v>
      </c>
      <c r="E74" s="11">
        <f>D74/Inputs!$B$25</f>
        <v>0.0059699</v>
      </c>
      <c r="F74" s="12">
        <f t="shared" si="2"/>
        <v>5.9699</v>
      </c>
      <c r="G74" s="5" t="str">
        <f t="shared" si="3"/>
        <v>Melting started</v>
      </c>
      <c r="H74" s="11">
        <f t="array" ref="H74">MAX(0,E74-IFERROR(INDEX(Sogginess_Calc!$E$4:$E$94,MATCH(A74,Sogginess_Calc!$A$4:$A$94,0)),0))</f>
        <v>0.00515646</v>
      </c>
      <c r="I74" s="12">
        <f t="shared" si="4"/>
        <v>5.15646</v>
      </c>
    </row>
    <row r="75" ht="15.75" customHeight="1">
      <c r="A75" s="13">
        <f>Heat_Raw!A75</f>
        <v>1420</v>
      </c>
      <c r="B75" s="12">
        <f>Heat_Raw!B75</f>
        <v>3808.4</v>
      </c>
      <c r="C75" s="12">
        <f>Inputs!$B$33</f>
        <v>2276.725</v>
      </c>
      <c r="D75" s="12">
        <f t="shared" si="1"/>
        <v>1531.675</v>
      </c>
      <c r="E75" s="11">
        <f>D75/Inputs!$B$25</f>
        <v>0.0061267</v>
      </c>
      <c r="F75" s="12">
        <f t="shared" si="2"/>
        <v>6.1267</v>
      </c>
      <c r="G75" s="5" t="str">
        <f t="shared" si="3"/>
        <v>Melting started</v>
      </c>
      <c r="H75" s="11">
        <f t="array" ref="H75">MAX(0,E75-IFERROR(INDEX(Sogginess_Calc!$E$4:$E$94,MATCH(A75,Sogginess_Calc!$A$4:$A$94,0)),0))</f>
        <v>0.00530698</v>
      </c>
      <c r="I75" s="12">
        <f t="shared" si="4"/>
        <v>5.30698</v>
      </c>
    </row>
    <row r="76" ht="15.75" customHeight="1">
      <c r="A76" s="13">
        <f>Heat_Raw!A76</f>
        <v>1440</v>
      </c>
      <c r="B76" s="12">
        <f>Heat_Raw!B76</f>
        <v>3847.2</v>
      </c>
      <c r="C76" s="12">
        <f>Inputs!$B$33</f>
        <v>2276.725</v>
      </c>
      <c r="D76" s="12">
        <f t="shared" si="1"/>
        <v>1570.475</v>
      </c>
      <c r="E76" s="11">
        <f>D76/Inputs!$B$25</f>
        <v>0.0062819</v>
      </c>
      <c r="F76" s="12">
        <f t="shared" si="2"/>
        <v>6.2819</v>
      </c>
      <c r="G76" s="5" t="str">
        <f t="shared" si="3"/>
        <v>Melting started</v>
      </c>
      <c r="H76" s="11">
        <f t="array" ref="H76">MAX(0,E76-IFERROR(INDEX(Sogginess_Calc!$E$4:$E$94,MATCH(A76,Sogginess_Calc!$A$4:$A$94,0)),0))</f>
        <v>0.00545594</v>
      </c>
      <c r="I76" s="12">
        <f t="shared" si="4"/>
        <v>5.45594</v>
      </c>
    </row>
    <row r="77" ht="15.75" customHeight="1">
      <c r="A77" s="13">
        <f>Heat_Raw!A77</f>
        <v>1460</v>
      </c>
      <c r="B77" s="12">
        <f>Heat_Raw!B77</f>
        <v>3885.6</v>
      </c>
      <c r="C77" s="12">
        <f>Inputs!$B$33</f>
        <v>2276.725</v>
      </c>
      <c r="D77" s="12">
        <f t="shared" si="1"/>
        <v>1608.875</v>
      </c>
      <c r="E77" s="11">
        <f>D77/Inputs!$B$25</f>
        <v>0.0064355</v>
      </c>
      <c r="F77" s="12">
        <f t="shared" si="2"/>
        <v>6.4355</v>
      </c>
      <c r="G77" s="5" t="str">
        <f t="shared" si="3"/>
        <v>Melting started</v>
      </c>
      <c r="H77" s="11">
        <f t="array" ref="H77">MAX(0,E77-IFERROR(INDEX(Sogginess_Calc!$E$4:$E$94,MATCH(A77,Sogginess_Calc!$A$4:$A$94,0)),0))</f>
        <v>0.00560334</v>
      </c>
      <c r="I77" s="12">
        <f t="shared" si="4"/>
        <v>5.60334</v>
      </c>
    </row>
    <row r="78" ht="15.75" customHeight="1">
      <c r="A78" s="13">
        <f>Heat_Raw!A78</f>
        <v>1480</v>
      </c>
      <c r="B78" s="12">
        <f>Heat_Raw!B78</f>
        <v>3923.5</v>
      </c>
      <c r="C78" s="12">
        <f>Inputs!$B$33</f>
        <v>2276.725</v>
      </c>
      <c r="D78" s="12">
        <f t="shared" si="1"/>
        <v>1646.775</v>
      </c>
      <c r="E78" s="11">
        <f>D78/Inputs!$B$25</f>
        <v>0.0065871</v>
      </c>
      <c r="F78" s="12">
        <f t="shared" si="2"/>
        <v>6.5871</v>
      </c>
      <c r="G78" s="5" t="str">
        <f t="shared" si="3"/>
        <v>Melting started</v>
      </c>
      <c r="H78" s="11">
        <f t="array" ref="H78">MAX(0,E78-IFERROR(INDEX(Sogginess_Calc!$E$4:$E$94,MATCH(A78,Sogginess_Calc!$A$4:$A$94,0)),0))</f>
        <v>0.00574874</v>
      </c>
      <c r="I78" s="12">
        <f t="shared" si="4"/>
        <v>5.74874</v>
      </c>
    </row>
    <row r="79" ht="15.75" customHeight="1">
      <c r="A79" s="13">
        <f>Heat_Raw!A79</f>
        <v>1500</v>
      </c>
      <c r="B79" s="12">
        <f>Heat_Raw!B79</f>
        <v>3961.3</v>
      </c>
      <c r="C79" s="12">
        <f>Inputs!$B$33</f>
        <v>2276.725</v>
      </c>
      <c r="D79" s="12">
        <f t="shared" si="1"/>
        <v>1684.575</v>
      </c>
      <c r="E79" s="11">
        <f>D79/Inputs!$B$25</f>
        <v>0.0067383</v>
      </c>
      <c r="F79" s="12">
        <f t="shared" si="2"/>
        <v>6.7383</v>
      </c>
      <c r="G79" s="5" t="str">
        <f t="shared" si="3"/>
        <v>Melting started</v>
      </c>
      <c r="H79" s="11">
        <f t="array" ref="H79">MAX(0,E79-IFERROR(INDEX(Sogginess_Calc!$E$4:$E$94,MATCH(A79,Sogginess_Calc!$A$4:$A$94,0)),0))</f>
        <v>0.00589378</v>
      </c>
      <c r="I79" s="12">
        <f t="shared" si="4"/>
        <v>5.89378</v>
      </c>
    </row>
    <row r="80" ht="15.75" customHeight="1">
      <c r="A80" s="13">
        <f>Heat_Raw!A80</f>
        <v>1520</v>
      </c>
      <c r="B80" s="12">
        <f>Heat_Raw!B80</f>
        <v>3998.6</v>
      </c>
      <c r="C80" s="12">
        <f>Inputs!$B$33</f>
        <v>2276.725</v>
      </c>
      <c r="D80" s="12">
        <f t="shared" si="1"/>
        <v>1721.875</v>
      </c>
      <c r="E80" s="11">
        <f>D80/Inputs!$B$25</f>
        <v>0.0068875</v>
      </c>
      <c r="F80" s="12">
        <f t="shared" si="2"/>
        <v>6.8875</v>
      </c>
      <c r="G80" s="5" t="str">
        <f t="shared" si="3"/>
        <v>Melting started</v>
      </c>
      <c r="H80" s="11">
        <f t="array" ref="H80">MAX(0,E80-IFERROR(INDEX(Sogginess_Calc!$E$4:$E$94,MATCH(A80,Sogginess_Calc!$A$4:$A$94,0)),0))</f>
        <v>0.0060369</v>
      </c>
      <c r="I80" s="12">
        <f t="shared" si="4"/>
        <v>6.0369</v>
      </c>
    </row>
    <row r="81" ht="15.75" customHeight="1">
      <c r="A81" s="13">
        <f>Heat_Raw!A81</f>
        <v>1540</v>
      </c>
      <c r="B81" s="12">
        <f>Heat_Raw!B81</f>
        <v>4035.6</v>
      </c>
      <c r="C81" s="12">
        <f>Inputs!$B$33</f>
        <v>2276.725</v>
      </c>
      <c r="D81" s="12">
        <f t="shared" si="1"/>
        <v>1758.875</v>
      </c>
      <c r="E81" s="11">
        <f>D81/Inputs!$B$25</f>
        <v>0.0070355</v>
      </c>
      <c r="F81" s="12">
        <f t="shared" si="2"/>
        <v>7.0355</v>
      </c>
      <c r="G81" s="5" t="str">
        <f t="shared" si="3"/>
        <v>Melting started</v>
      </c>
      <c r="H81" s="11">
        <f t="array" ref="H81">MAX(0,E81-IFERROR(INDEX(Sogginess_Calc!$E$4:$E$94,MATCH(A81,Sogginess_Calc!$A$4:$A$94,0)),0))</f>
        <v>0.00617882</v>
      </c>
      <c r="I81" s="12">
        <f t="shared" si="4"/>
        <v>6.17882</v>
      </c>
    </row>
    <row r="82" ht="15.75" customHeight="1">
      <c r="A82" s="13">
        <f>Heat_Raw!A82</f>
        <v>1560</v>
      </c>
      <c r="B82" s="12">
        <f>Heat_Raw!B82</f>
        <v>4072.2</v>
      </c>
      <c r="C82" s="12">
        <f>Inputs!$B$33</f>
        <v>2276.725</v>
      </c>
      <c r="D82" s="12">
        <f t="shared" si="1"/>
        <v>1795.475</v>
      </c>
      <c r="E82" s="11">
        <f>D82/Inputs!$B$25</f>
        <v>0.0071819</v>
      </c>
      <c r="F82" s="12">
        <f t="shared" si="2"/>
        <v>7.1819</v>
      </c>
      <c r="G82" s="5" t="str">
        <f t="shared" si="3"/>
        <v>Melting started</v>
      </c>
      <c r="H82" s="11">
        <f t="array" ref="H82">MAX(0,E82-IFERROR(INDEX(Sogginess_Calc!$E$4:$E$94,MATCH(A82,Sogginess_Calc!$A$4:$A$94,0)),0))</f>
        <v>0.00631918</v>
      </c>
      <c r="I82" s="12">
        <f t="shared" si="4"/>
        <v>6.31918</v>
      </c>
    </row>
    <row r="83" ht="15.75" customHeight="1">
      <c r="A83" s="13">
        <f>Heat_Raw!A83</f>
        <v>1580</v>
      </c>
      <c r="B83" s="12">
        <f>Heat_Raw!B83</f>
        <v>4108.5</v>
      </c>
      <c r="C83" s="12">
        <f>Inputs!$B$33</f>
        <v>2276.725</v>
      </c>
      <c r="D83" s="12">
        <f t="shared" si="1"/>
        <v>1831.775</v>
      </c>
      <c r="E83" s="11">
        <f>D83/Inputs!$B$25</f>
        <v>0.0073271</v>
      </c>
      <c r="F83" s="12">
        <f t="shared" si="2"/>
        <v>7.3271</v>
      </c>
      <c r="G83" s="5" t="str">
        <f t="shared" si="3"/>
        <v>Melting started</v>
      </c>
      <c r="H83" s="11">
        <f t="array" ref="H83">MAX(0,E83-IFERROR(INDEX(Sogginess_Calc!$E$4:$E$94,MATCH(A83,Sogginess_Calc!$A$4:$A$94,0)),0))</f>
        <v>0.00645842</v>
      </c>
      <c r="I83" s="12">
        <f t="shared" si="4"/>
        <v>6.45842</v>
      </c>
    </row>
    <row r="84" ht="15.75" customHeight="1">
      <c r="A84" s="13">
        <f>Heat_Raw!A84</f>
        <v>1600</v>
      </c>
      <c r="B84" s="12">
        <f>Heat_Raw!B84</f>
        <v>4144.4</v>
      </c>
      <c r="C84" s="12">
        <f>Inputs!$B$33</f>
        <v>2276.725</v>
      </c>
      <c r="D84" s="12">
        <f t="shared" si="1"/>
        <v>1867.675</v>
      </c>
      <c r="E84" s="11">
        <f>D84/Inputs!$B$25</f>
        <v>0.0074707</v>
      </c>
      <c r="F84" s="12">
        <f t="shared" si="2"/>
        <v>7.4707</v>
      </c>
      <c r="G84" s="5" t="str">
        <f t="shared" si="3"/>
        <v>Melting started</v>
      </c>
      <c r="H84" s="11">
        <f t="array" ref="H84">MAX(0,E84-IFERROR(INDEX(Sogginess_Calc!$E$4:$E$94,MATCH(A84,Sogginess_Calc!$A$4:$A$94,0)),0))</f>
        <v>0.00659606</v>
      </c>
      <c r="I84" s="12">
        <f t="shared" si="4"/>
        <v>6.59606</v>
      </c>
    </row>
    <row r="85" ht="15.75" customHeight="1">
      <c r="A85" s="13">
        <f>Heat_Raw!A85</f>
        <v>1620</v>
      </c>
      <c r="B85" s="12">
        <f>Heat_Raw!B85</f>
        <v>4180</v>
      </c>
      <c r="C85" s="12">
        <f>Inputs!$B$33</f>
        <v>2276.725</v>
      </c>
      <c r="D85" s="12">
        <f t="shared" si="1"/>
        <v>1903.275</v>
      </c>
      <c r="E85" s="11">
        <f>D85/Inputs!$B$25</f>
        <v>0.0076131</v>
      </c>
      <c r="F85" s="12">
        <f t="shared" si="2"/>
        <v>7.6131</v>
      </c>
      <c r="G85" s="5" t="str">
        <f t="shared" si="3"/>
        <v>Melting started</v>
      </c>
      <c r="H85" s="11">
        <f t="array" ref="H85">MAX(0,E85-IFERROR(INDEX(Sogginess_Calc!$E$4:$E$94,MATCH(A85,Sogginess_Calc!$A$4:$A$94,0)),0))</f>
        <v>0.0067325</v>
      </c>
      <c r="I85" s="12">
        <f t="shared" si="4"/>
        <v>6.7325</v>
      </c>
    </row>
    <row r="86" ht="15.75" customHeight="1">
      <c r="A86" s="13">
        <f>Heat_Raw!A86</f>
        <v>1640</v>
      </c>
      <c r="B86" s="12">
        <f>Heat_Raw!B86</f>
        <v>4215.3</v>
      </c>
      <c r="C86" s="12">
        <f>Inputs!$B$33</f>
        <v>2276.725</v>
      </c>
      <c r="D86" s="12">
        <f t="shared" si="1"/>
        <v>1938.575</v>
      </c>
      <c r="E86" s="11">
        <f>D86/Inputs!$B$25</f>
        <v>0.0077543</v>
      </c>
      <c r="F86" s="12">
        <f t="shared" si="2"/>
        <v>7.7543</v>
      </c>
      <c r="G86" s="5" t="str">
        <f t="shared" si="3"/>
        <v>Melting started</v>
      </c>
      <c r="H86" s="11">
        <f t="array" ref="H86">MAX(0,E86-IFERROR(INDEX(Sogginess_Calc!$E$4:$E$94,MATCH(A86,Sogginess_Calc!$A$4:$A$94,0)),0))</f>
        <v>0.00686778</v>
      </c>
      <c r="I86" s="12">
        <f t="shared" si="4"/>
        <v>6.86778</v>
      </c>
    </row>
    <row r="87" ht="15.75" customHeight="1">
      <c r="A87" s="13">
        <f>Heat_Raw!A87</f>
        <v>1660</v>
      </c>
      <c r="B87" s="12">
        <f>Heat_Raw!B87</f>
        <v>4250.3</v>
      </c>
      <c r="C87" s="12">
        <f>Inputs!$B$33</f>
        <v>2276.725</v>
      </c>
      <c r="D87" s="12">
        <f t="shared" si="1"/>
        <v>1973.575</v>
      </c>
      <c r="E87" s="11">
        <f>D87/Inputs!$B$25</f>
        <v>0.0078943</v>
      </c>
      <c r="F87" s="12">
        <f t="shared" si="2"/>
        <v>7.8943</v>
      </c>
      <c r="G87" s="5" t="str">
        <f t="shared" si="3"/>
        <v>Melting started</v>
      </c>
      <c r="H87" s="11">
        <f t="array" ref="H87">MAX(0,E87-IFERROR(INDEX(Sogginess_Calc!$E$4:$E$94,MATCH(A87,Sogginess_Calc!$A$4:$A$94,0)),0))</f>
        <v>0.00700194</v>
      </c>
      <c r="I87" s="12">
        <f t="shared" si="4"/>
        <v>7.00194</v>
      </c>
    </row>
    <row r="88" ht="15.75" customHeight="1">
      <c r="A88" s="13">
        <f>Heat_Raw!A88</f>
        <v>1680</v>
      </c>
      <c r="B88" s="12">
        <f>Heat_Raw!B88</f>
        <v>4285</v>
      </c>
      <c r="C88" s="12">
        <f>Inputs!$B$33</f>
        <v>2276.725</v>
      </c>
      <c r="D88" s="12">
        <f t="shared" si="1"/>
        <v>2008.275</v>
      </c>
      <c r="E88" s="11">
        <f>D88/Inputs!$B$25</f>
        <v>0.0080331</v>
      </c>
      <c r="F88" s="12">
        <f t="shared" si="2"/>
        <v>8.0331</v>
      </c>
      <c r="G88" s="5" t="str">
        <f t="shared" si="3"/>
        <v>Melting started</v>
      </c>
      <c r="H88" s="11">
        <f t="array" ref="H88">MAX(0,E88-IFERROR(INDEX(Sogginess_Calc!$E$4:$E$94,MATCH(A88,Sogginess_Calc!$A$4:$A$94,0)),0))</f>
        <v>0.0071349</v>
      </c>
      <c r="I88" s="12">
        <f t="shared" si="4"/>
        <v>7.1349</v>
      </c>
    </row>
    <row r="89" ht="15.75" customHeight="1">
      <c r="A89" s="13">
        <f>Heat_Raw!A89</f>
        <v>1700</v>
      </c>
      <c r="B89" s="12">
        <f>Heat_Raw!B89</f>
        <v>4319.3</v>
      </c>
      <c r="C89" s="12">
        <f>Inputs!$B$33</f>
        <v>2276.725</v>
      </c>
      <c r="D89" s="12">
        <f t="shared" si="1"/>
        <v>2042.575</v>
      </c>
      <c r="E89" s="11">
        <f>D89/Inputs!$B$25</f>
        <v>0.0081703</v>
      </c>
      <c r="F89" s="12">
        <f t="shared" si="2"/>
        <v>8.1703</v>
      </c>
      <c r="G89" s="5" t="str">
        <f t="shared" si="3"/>
        <v>Melting started</v>
      </c>
      <c r="H89" s="11">
        <f t="array" ref="H89">MAX(0,E89-IFERROR(INDEX(Sogginess_Calc!$E$4:$E$94,MATCH(A89,Sogginess_Calc!$A$4:$A$94,0)),0))</f>
        <v>0.00726626</v>
      </c>
      <c r="I89" s="12">
        <f t="shared" si="4"/>
        <v>7.26626</v>
      </c>
    </row>
    <row r="90" ht="15.75" customHeight="1">
      <c r="A90" s="13">
        <f>Heat_Raw!A90</f>
        <v>1720</v>
      </c>
      <c r="B90" s="12">
        <f>Heat_Raw!B90</f>
        <v>4353.2</v>
      </c>
      <c r="C90" s="12">
        <f>Inputs!$B$33</f>
        <v>2276.725</v>
      </c>
      <c r="D90" s="12">
        <f t="shared" si="1"/>
        <v>2076.475</v>
      </c>
      <c r="E90" s="11">
        <f>D90/Inputs!$B$25</f>
        <v>0.0083059</v>
      </c>
      <c r="F90" s="12">
        <f t="shared" si="2"/>
        <v>8.3059</v>
      </c>
      <c r="G90" s="5" t="str">
        <f t="shared" si="3"/>
        <v>Melting started</v>
      </c>
      <c r="H90" s="11">
        <f t="array" ref="H90">MAX(0,E90-IFERROR(INDEX(Sogginess_Calc!$E$4:$E$94,MATCH(A90,Sogginess_Calc!$A$4:$A$94,0)),0))</f>
        <v>0.0073961</v>
      </c>
      <c r="I90" s="12">
        <f t="shared" si="4"/>
        <v>7.3961</v>
      </c>
    </row>
    <row r="91" ht="15.75" customHeight="1">
      <c r="A91" s="13">
        <f>Heat_Raw!A91</f>
        <v>1740</v>
      </c>
      <c r="B91" s="12">
        <f>Heat_Raw!B91</f>
        <v>4386.8</v>
      </c>
      <c r="C91" s="12">
        <f>Inputs!$B$33</f>
        <v>2276.725</v>
      </c>
      <c r="D91" s="12">
        <f t="shared" si="1"/>
        <v>2110.075</v>
      </c>
      <c r="E91" s="11">
        <f>D91/Inputs!$B$25</f>
        <v>0.0084403</v>
      </c>
      <c r="F91" s="12">
        <f t="shared" si="2"/>
        <v>8.4403</v>
      </c>
      <c r="G91" s="5" t="str">
        <f t="shared" si="3"/>
        <v>Melting started</v>
      </c>
      <c r="H91" s="11">
        <f t="array" ref="H91">MAX(0,E91-IFERROR(INDEX(Sogginess_Calc!$E$4:$E$94,MATCH(A91,Sogginess_Calc!$A$4:$A$94,0)),0))</f>
        <v>0.00752478</v>
      </c>
      <c r="I91" s="12">
        <f t="shared" si="4"/>
        <v>7.52478</v>
      </c>
    </row>
    <row r="92" ht="15.75" customHeight="1">
      <c r="A92" s="13">
        <f>Heat_Raw!A92</f>
        <v>1760</v>
      </c>
      <c r="B92" s="12">
        <f>Heat_Raw!B92</f>
        <v>4420.1</v>
      </c>
      <c r="C92" s="12">
        <f>Inputs!$B$33</f>
        <v>2276.725</v>
      </c>
      <c r="D92" s="12">
        <f t="shared" si="1"/>
        <v>2143.375</v>
      </c>
      <c r="E92" s="11">
        <f>D92/Inputs!$B$25</f>
        <v>0.0085735</v>
      </c>
      <c r="F92" s="12">
        <f t="shared" si="2"/>
        <v>8.5735</v>
      </c>
      <c r="G92" s="5" t="str">
        <f t="shared" si="3"/>
        <v>Melting started</v>
      </c>
      <c r="H92" s="11">
        <f t="array" ref="H92">MAX(0,E92-IFERROR(INDEX(Sogginess_Calc!$E$4:$E$94,MATCH(A92,Sogginess_Calc!$A$4:$A$94,0)),0))</f>
        <v>0.00765222</v>
      </c>
      <c r="I92" s="12">
        <f t="shared" si="4"/>
        <v>7.65222</v>
      </c>
    </row>
    <row r="93" ht="15.75" customHeight="1">
      <c r="A93" s="13">
        <f>Heat_Raw!A93</f>
        <v>1780</v>
      </c>
      <c r="B93" s="12">
        <f>Heat_Raw!B93</f>
        <v>4453.1</v>
      </c>
      <c r="C93" s="12">
        <f>Inputs!$B$33</f>
        <v>2276.725</v>
      </c>
      <c r="D93" s="12">
        <f t="shared" si="1"/>
        <v>2176.375</v>
      </c>
      <c r="E93" s="11">
        <f>D93/Inputs!$B$25</f>
        <v>0.0087055</v>
      </c>
      <c r="F93" s="12">
        <f t="shared" si="2"/>
        <v>8.7055</v>
      </c>
      <c r="G93" s="5" t="str">
        <f t="shared" si="3"/>
        <v>Melting started</v>
      </c>
      <c r="H93" s="11">
        <f t="array" ref="H93">MAX(0,E93-IFERROR(INDEX(Sogginess_Calc!$E$4:$E$94,MATCH(A93,Sogginess_Calc!$A$4:$A$94,0)),0))</f>
        <v>0.00777854</v>
      </c>
      <c r="I93" s="12">
        <f t="shared" si="4"/>
        <v>7.77854</v>
      </c>
    </row>
    <row r="94" ht="15.75" customHeight="1">
      <c r="A94" s="13">
        <f>Heat_Raw!A94</f>
        <v>1800</v>
      </c>
      <c r="B94" s="12">
        <f>Heat_Raw!B94</f>
        <v>4485.8</v>
      </c>
      <c r="C94" s="12">
        <f>Inputs!$B$33</f>
        <v>2276.725</v>
      </c>
      <c r="D94" s="12">
        <f t="shared" si="1"/>
        <v>2209.075</v>
      </c>
      <c r="E94" s="11">
        <f>D94/Inputs!$B$25</f>
        <v>0.0088363</v>
      </c>
      <c r="F94" s="12">
        <f t="shared" si="2"/>
        <v>8.8363</v>
      </c>
      <c r="G94" s="5" t="str">
        <f t="shared" si="3"/>
        <v>Melting started</v>
      </c>
      <c r="H94" s="11">
        <f t="array" ref="H94">MAX(0,E94-IFERROR(INDEX(Sogginess_Calc!$E$4:$E$94,MATCH(A94,Sogginess_Calc!$A$4:$A$94,0)),0))</f>
        <v>0.00790366</v>
      </c>
      <c r="I94" s="12">
        <f t="shared" si="4"/>
        <v>7.90366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conditionalFormatting sqref="G4:G94">
    <cfRule type="cellIs" dxfId="0" priority="1" operator="equal">
      <formula>"Melting started"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3" width="14.0"/>
    <col customWidth="1" min="4" max="4" width="16.0"/>
    <col customWidth="1" min="5" max="5" width="42.0"/>
    <col customWidth="1" min="6" max="26" width="9.0"/>
  </cols>
  <sheetData>
    <row r="1">
      <c r="A1" s="1" t="s">
        <v>88</v>
      </c>
      <c r="B1" s="2"/>
      <c r="C1" s="2"/>
      <c r="D1" s="2"/>
      <c r="E1" s="3"/>
    </row>
    <row r="3">
      <c r="A3" s="4" t="s">
        <v>70</v>
      </c>
      <c r="B3" s="4" t="s">
        <v>89</v>
      </c>
      <c r="C3" s="4" t="s">
        <v>90</v>
      </c>
      <c r="D3" s="4" t="s">
        <v>91</v>
      </c>
      <c r="E3" s="4" t="s">
        <v>4</v>
      </c>
    </row>
    <row r="4">
      <c r="A4" s="13">
        <v>0.0</v>
      </c>
      <c r="B4" s="16">
        <v>0.0</v>
      </c>
      <c r="C4" s="16">
        <f>Inputs!$B$26</f>
        <v>0.000018223</v>
      </c>
      <c r="D4" s="16">
        <v>0.0</v>
      </c>
      <c r="E4" s="5" t="s">
        <v>92</v>
      </c>
    </row>
    <row r="5">
      <c r="A5" s="13">
        <v>20.0</v>
      </c>
      <c r="B5" s="16">
        <v>0.0</v>
      </c>
      <c r="C5" s="16">
        <f>Inputs!$B$26</f>
        <v>0.000018223</v>
      </c>
      <c r="D5" s="16">
        <v>0.0</v>
      </c>
      <c r="E5" s="5" t="s">
        <v>92</v>
      </c>
    </row>
    <row r="6">
      <c r="A6" s="13">
        <v>40.0</v>
      </c>
      <c r="B6" s="16">
        <v>0.0</v>
      </c>
      <c r="C6" s="16">
        <f>Inputs!$B$26</f>
        <v>0.000018223</v>
      </c>
      <c r="D6" s="16">
        <v>0.0</v>
      </c>
      <c r="E6" s="5" t="s">
        <v>92</v>
      </c>
    </row>
    <row r="7">
      <c r="A7" s="13">
        <v>60.0</v>
      </c>
      <c r="B7" s="16">
        <v>0.0</v>
      </c>
      <c r="C7" s="16">
        <f>Inputs!$B$26</f>
        <v>0.000018223</v>
      </c>
      <c r="D7" s="16">
        <v>0.0</v>
      </c>
      <c r="E7" s="5" t="s">
        <v>92</v>
      </c>
    </row>
    <row r="8">
      <c r="A8" s="13">
        <v>80.0</v>
      </c>
      <c r="B8" s="16">
        <v>0.0</v>
      </c>
      <c r="C8" s="16">
        <f>Inputs!$B$26</f>
        <v>0.000018223</v>
      </c>
      <c r="D8" s="16">
        <v>0.0</v>
      </c>
      <c r="E8" s="5" t="s">
        <v>92</v>
      </c>
    </row>
    <row r="9">
      <c r="A9" s="13">
        <v>100.0</v>
      </c>
      <c r="B9" s="16">
        <v>0.0</v>
      </c>
      <c r="C9" s="16">
        <f>Inputs!$B$26</f>
        <v>0.000018223</v>
      </c>
      <c r="D9" s="16">
        <v>0.0</v>
      </c>
      <c r="E9" s="5" t="s">
        <v>92</v>
      </c>
    </row>
    <row r="10">
      <c r="A10" s="13">
        <v>120.0</v>
      </c>
      <c r="B10" s="16">
        <v>0.0</v>
      </c>
      <c r="C10" s="16">
        <f>Inputs!$B$26</f>
        <v>0.000018223</v>
      </c>
      <c r="D10" s="16">
        <v>0.0</v>
      </c>
      <c r="E10" s="5" t="s">
        <v>92</v>
      </c>
    </row>
    <row r="11">
      <c r="A11" s="13">
        <v>140.0</v>
      </c>
      <c r="B11" s="16">
        <v>0.0</v>
      </c>
      <c r="C11" s="16">
        <f>Inputs!$B$26</f>
        <v>0.000018223</v>
      </c>
      <c r="D11" s="16">
        <v>0.0</v>
      </c>
      <c r="E11" s="5" t="s">
        <v>92</v>
      </c>
    </row>
    <row r="12">
      <c r="A12" s="13">
        <v>160.0</v>
      </c>
      <c r="B12" s="16">
        <v>0.0</v>
      </c>
      <c r="C12" s="16">
        <f>Inputs!$B$26</f>
        <v>0.000018223</v>
      </c>
      <c r="D12" s="16">
        <v>0.0</v>
      </c>
      <c r="E12" s="5" t="s">
        <v>92</v>
      </c>
    </row>
    <row r="13">
      <c r="A13" s="13">
        <v>180.0</v>
      </c>
      <c r="B13" s="16">
        <v>0.0</v>
      </c>
      <c r="C13" s="16">
        <f>Inputs!$B$26</f>
        <v>0.000018223</v>
      </c>
      <c r="D13" s="16">
        <v>0.0</v>
      </c>
      <c r="E13" s="5" t="s">
        <v>92</v>
      </c>
    </row>
    <row r="14">
      <c r="A14" s="13">
        <v>200.0</v>
      </c>
      <c r="B14" s="16">
        <v>0.0</v>
      </c>
      <c r="C14" s="16">
        <f>Inputs!$B$26</f>
        <v>0.000018223</v>
      </c>
      <c r="D14" s="16">
        <v>0.0</v>
      </c>
      <c r="E14" s="5" t="s">
        <v>92</v>
      </c>
    </row>
    <row r="15">
      <c r="A15" s="13">
        <v>220.0</v>
      </c>
      <c r="B15" s="16">
        <v>0.0</v>
      </c>
      <c r="C15" s="16">
        <f>Inputs!$B$26</f>
        <v>0.000018223</v>
      </c>
      <c r="D15" s="16">
        <v>0.0</v>
      </c>
      <c r="E15" s="5" t="s">
        <v>92</v>
      </c>
    </row>
    <row r="16">
      <c r="A16" s="13">
        <v>240.0</v>
      </c>
      <c r="B16" s="16">
        <v>0.0</v>
      </c>
      <c r="C16" s="16">
        <f>Inputs!$B$26</f>
        <v>0.000018223</v>
      </c>
      <c r="D16" s="16">
        <v>0.0</v>
      </c>
      <c r="E16" s="5" t="s">
        <v>92</v>
      </c>
    </row>
    <row r="17">
      <c r="A17" s="13">
        <v>260.0</v>
      </c>
      <c r="B17" s="16">
        <v>0.0</v>
      </c>
      <c r="C17" s="16">
        <f>Inputs!$B$26</f>
        <v>0.000018223</v>
      </c>
      <c r="D17" s="16">
        <v>0.0</v>
      </c>
      <c r="E17" s="5" t="s">
        <v>92</v>
      </c>
    </row>
    <row r="18">
      <c r="A18" s="13">
        <v>280.0</v>
      </c>
      <c r="B18" s="16">
        <v>0.0</v>
      </c>
      <c r="C18" s="16">
        <f>Inputs!$B$26</f>
        <v>0.000018223</v>
      </c>
      <c r="D18" s="16">
        <v>0.0</v>
      </c>
      <c r="E18" s="5" t="s">
        <v>92</v>
      </c>
    </row>
    <row r="19">
      <c r="A19" s="13">
        <v>300.0</v>
      </c>
      <c r="B19" s="16">
        <v>0.0</v>
      </c>
      <c r="C19" s="16">
        <f>Inputs!$B$26</f>
        <v>0.000018223</v>
      </c>
      <c r="D19" s="16">
        <v>0.0</v>
      </c>
      <c r="E19" s="5" t="s">
        <v>92</v>
      </c>
    </row>
    <row r="20">
      <c r="A20" s="13">
        <v>320.0</v>
      </c>
      <c r="B20" s="16">
        <v>0.0</v>
      </c>
      <c r="C20" s="16">
        <f>Inputs!$B$26</f>
        <v>0.000018223</v>
      </c>
      <c r="D20" s="16">
        <v>0.0</v>
      </c>
      <c r="E20" s="5" t="s">
        <v>92</v>
      </c>
    </row>
    <row r="21" ht="15.75" customHeight="1">
      <c r="A21" s="13">
        <v>340.0</v>
      </c>
      <c r="B21" s="16">
        <v>0.0</v>
      </c>
      <c r="C21" s="16">
        <f>Inputs!$B$26</f>
        <v>0.000018223</v>
      </c>
      <c r="D21" s="16">
        <v>0.0</v>
      </c>
      <c r="E21" s="5" t="s">
        <v>92</v>
      </c>
    </row>
    <row r="22" ht="15.75" customHeight="1">
      <c r="A22" s="13">
        <v>360.0</v>
      </c>
      <c r="B22" s="16">
        <v>0.0</v>
      </c>
      <c r="C22" s="16">
        <f>Inputs!$B$26</f>
        <v>0.000018223</v>
      </c>
      <c r="D22" s="16">
        <v>0.0</v>
      </c>
      <c r="E22" s="5" t="s">
        <v>92</v>
      </c>
    </row>
    <row r="23" ht="15.75" customHeight="1">
      <c r="A23" s="13">
        <v>380.0</v>
      </c>
      <c r="B23" s="16">
        <v>0.0</v>
      </c>
      <c r="C23" s="16">
        <f>Inputs!$B$26</f>
        <v>0.000018223</v>
      </c>
      <c r="D23" s="16">
        <v>0.0</v>
      </c>
      <c r="E23" s="5" t="s">
        <v>92</v>
      </c>
    </row>
    <row r="24" ht="15.75" customHeight="1">
      <c r="A24" s="13">
        <v>400.0</v>
      </c>
      <c r="B24" s="16">
        <v>0.0</v>
      </c>
      <c r="C24" s="16">
        <f>Inputs!$B$26</f>
        <v>0.000018223</v>
      </c>
      <c r="D24" s="16">
        <v>0.0</v>
      </c>
      <c r="E24" s="5" t="s">
        <v>92</v>
      </c>
    </row>
    <row r="25" ht="15.75" customHeight="1">
      <c r="A25" s="13">
        <v>420.0</v>
      </c>
      <c r="B25" s="16">
        <v>0.0</v>
      </c>
      <c r="C25" s="16">
        <f>Inputs!$B$26</f>
        <v>0.000018223</v>
      </c>
      <c r="D25" s="16">
        <v>0.0</v>
      </c>
      <c r="E25" s="5" t="s">
        <v>92</v>
      </c>
    </row>
    <row r="26" ht="15.75" customHeight="1">
      <c r="A26" s="13">
        <v>440.0</v>
      </c>
      <c r="B26" s="16">
        <v>0.0</v>
      </c>
      <c r="C26" s="16">
        <f>Inputs!$B$26</f>
        <v>0.000018223</v>
      </c>
      <c r="D26" s="16">
        <v>0.0</v>
      </c>
      <c r="E26" s="5" t="s">
        <v>92</v>
      </c>
    </row>
    <row r="27" ht="15.75" customHeight="1">
      <c r="A27" s="13">
        <v>460.0</v>
      </c>
      <c r="B27" s="16">
        <v>0.0</v>
      </c>
      <c r="C27" s="16">
        <f>Inputs!$B$26</f>
        <v>0.000018223</v>
      </c>
      <c r="D27" s="16">
        <v>0.0</v>
      </c>
      <c r="E27" s="5" t="s">
        <v>92</v>
      </c>
    </row>
    <row r="28" ht="15.75" customHeight="1">
      <c r="A28" s="13">
        <v>480.0</v>
      </c>
      <c r="B28" s="16">
        <v>0.0</v>
      </c>
      <c r="C28" s="16">
        <f>Inputs!$B$26</f>
        <v>0.000018223</v>
      </c>
      <c r="D28" s="16">
        <v>0.0</v>
      </c>
      <c r="E28" s="5" t="s">
        <v>92</v>
      </c>
    </row>
    <row r="29" ht="15.75" customHeight="1">
      <c r="A29" s="13">
        <v>500.0</v>
      </c>
      <c r="B29" s="16">
        <v>0.0</v>
      </c>
      <c r="C29" s="16">
        <f>Inputs!$B$26</f>
        <v>0.000018223</v>
      </c>
      <c r="D29" s="16">
        <v>0.0</v>
      </c>
      <c r="E29" s="5" t="s">
        <v>92</v>
      </c>
    </row>
    <row r="30" ht="15.75" customHeight="1">
      <c r="A30" s="13">
        <v>520.0</v>
      </c>
      <c r="B30" s="16">
        <v>0.0</v>
      </c>
      <c r="C30" s="16">
        <f>Inputs!$B$26</f>
        <v>0.000018223</v>
      </c>
      <c r="D30" s="16">
        <v>0.0</v>
      </c>
      <c r="E30" s="5" t="s">
        <v>92</v>
      </c>
    </row>
    <row r="31" ht="15.75" customHeight="1">
      <c r="A31" s="13">
        <v>540.0</v>
      </c>
      <c r="B31" s="16">
        <v>0.0</v>
      </c>
      <c r="C31" s="16">
        <f>Inputs!$B$26</f>
        <v>0.000018223</v>
      </c>
      <c r="D31" s="16">
        <v>0.0</v>
      </c>
      <c r="E31" s="5" t="s">
        <v>92</v>
      </c>
    </row>
    <row r="32" ht="15.75" customHeight="1">
      <c r="A32" s="13">
        <v>560.0</v>
      </c>
      <c r="B32" s="16">
        <v>0.0</v>
      </c>
      <c r="C32" s="16">
        <f>Inputs!$B$26</f>
        <v>0.000018223</v>
      </c>
      <c r="D32" s="16">
        <v>0.0</v>
      </c>
      <c r="E32" s="5" t="s">
        <v>92</v>
      </c>
    </row>
    <row r="33" ht="15.75" customHeight="1">
      <c r="A33" s="13">
        <v>580.0</v>
      </c>
      <c r="B33" s="16">
        <v>0.0</v>
      </c>
      <c r="C33" s="16">
        <f>Inputs!$B$26</f>
        <v>0.000018223</v>
      </c>
      <c r="D33" s="16">
        <v>0.0</v>
      </c>
      <c r="E33" s="5" t="s">
        <v>92</v>
      </c>
    </row>
    <row r="34" ht="15.75" customHeight="1">
      <c r="A34" s="13">
        <v>600.0</v>
      </c>
      <c r="B34" s="16">
        <v>0.0</v>
      </c>
      <c r="C34" s="16">
        <f>Inputs!$B$26</f>
        <v>0.000018223</v>
      </c>
      <c r="D34" s="16">
        <v>0.0</v>
      </c>
      <c r="E34" s="5" t="s">
        <v>92</v>
      </c>
    </row>
    <row r="35" ht="15.75" customHeight="1">
      <c r="A35" s="13">
        <v>620.0</v>
      </c>
      <c r="B35" s="16">
        <v>0.0</v>
      </c>
      <c r="C35" s="16">
        <f>Inputs!$B$26</f>
        <v>0.000018223</v>
      </c>
      <c r="D35" s="16">
        <v>0.0</v>
      </c>
      <c r="E35" s="5" t="s">
        <v>92</v>
      </c>
    </row>
    <row r="36" ht="15.75" customHeight="1">
      <c r="A36" s="13">
        <v>640.0</v>
      </c>
      <c r="B36" s="16">
        <v>0.0</v>
      </c>
      <c r="C36" s="16">
        <f>Inputs!$B$26</f>
        <v>0.000018223</v>
      </c>
      <c r="D36" s="16">
        <v>0.0</v>
      </c>
      <c r="E36" s="5" t="s">
        <v>92</v>
      </c>
    </row>
    <row r="37" ht="15.75" customHeight="1">
      <c r="A37" s="13">
        <v>660.0</v>
      </c>
      <c r="B37" s="16">
        <v>0.0</v>
      </c>
      <c r="C37" s="16">
        <f>Inputs!$B$26</f>
        <v>0.000018223</v>
      </c>
      <c r="D37" s="16">
        <v>0.0</v>
      </c>
      <c r="E37" s="5" t="s">
        <v>92</v>
      </c>
    </row>
    <row r="38" ht="15.75" customHeight="1">
      <c r="A38" s="13">
        <v>680.0</v>
      </c>
      <c r="B38" s="16">
        <v>0.0</v>
      </c>
      <c r="C38" s="16">
        <f>Inputs!$B$26</f>
        <v>0.000018223</v>
      </c>
      <c r="D38" s="16">
        <v>0.0</v>
      </c>
      <c r="E38" s="5" t="s">
        <v>92</v>
      </c>
    </row>
    <row r="39" ht="15.75" customHeight="1">
      <c r="A39" s="13">
        <v>700.0</v>
      </c>
      <c r="B39" s="16">
        <v>0.0</v>
      </c>
      <c r="C39" s="16">
        <f>Inputs!$B$26</f>
        <v>0.000018223</v>
      </c>
      <c r="D39" s="16">
        <v>0.0</v>
      </c>
      <c r="E39" s="5" t="s">
        <v>92</v>
      </c>
    </row>
    <row r="40" ht="15.75" customHeight="1">
      <c r="A40" s="13">
        <v>720.0</v>
      </c>
      <c r="B40" s="16">
        <v>0.0</v>
      </c>
      <c r="C40" s="16">
        <f>Inputs!$B$26</f>
        <v>0.000018223</v>
      </c>
      <c r="D40" s="16">
        <v>0.0</v>
      </c>
      <c r="E40" s="5" t="s">
        <v>92</v>
      </c>
    </row>
    <row r="41" ht="15.75" customHeight="1">
      <c r="A41" s="13">
        <v>740.0</v>
      </c>
      <c r="B41" s="16">
        <v>1.399E-6</v>
      </c>
      <c r="C41" s="16">
        <f>Inputs!$B$26</f>
        <v>0.000018223</v>
      </c>
      <c r="D41" s="16">
        <v>5.5961E-4</v>
      </c>
      <c r="E41" s="5" t="s">
        <v>92</v>
      </c>
    </row>
    <row r="42" ht="15.75" customHeight="1">
      <c r="A42" s="13">
        <v>760.0</v>
      </c>
      <c r="B42" s="16">
        <v>1.4631E-6</v>
      </c>
      <c r="C42" s="16">
        <f>Inputs!$B$26</f>
        <v>0.000018223</v>
      </c>
      <c r="D42" s="16">
        <v>5.8524E-4</v>
      </c>
      <c r="E42" s="5" t="s">
        <v>92</v>
      </c>
    </row>
    <row r="43" ht="15.75" customHeight="1">
      <c r="A43" s="13">
        <v>780.0</v>
      </c>
      <c r="B43" s="16">
        <v>1.4836E-6</v>
      </c>
      <c r="C43" s="16">
        <f>Inputs!$B$26</f>
        <v>0.000018223</v>
      </c>
      <c r="D43" s="16">
        <v>5.9343E-4</v>
      </c>
      <c r="E43" s="5" t="s">
        <v>92</v>
      </c>
    </row>
    <row r="44" ht="15.75" customHeight="1">
      <c r="A44" s="13">
        <v>800.0</v>
      </c>
      <c r="B44" s="16">
        <v>1.5038E-6</v>
      </c>
      <c r="C44" s="16">
        <f>Inputs!$B$26</f>
        <v>0.000018223</v>
      </c>
      <c r="D44" s="16">
        <v>6.0153E-4</v>
      </c>
      <c r="E44" s="5" t="s">
        <v>92</v>
      </c>
    </row>
    <row r="45" ht="15.75" customHeight="1">
      <c r="A45" s="13">
        <v>820.0</v>
      </c>
      <c r="B45" s="16">
        <v>1.5238E-6</v>
      </c>
      <c r="C45" s="16">
        <f>Inputs!$B$26</f>
        <v>0.000018223</v>
      </c>
      <c r="D45" s="16">
        <v>6.0954E-4</v>
      </c>
      <c r="E45" s="5" t="s">
        <v>92</v>
      </c>
    </row>
    <row r="46" ht="15.75" customHeight="1">
      <c r="A46" s="13">
        <v>840.0</v>
      </c>
      <c r="B46" s="16">
        <v>1.5437E-6</v>
      </c>
      <c r="C46" s="16">
        <f>Inputs!$B$26</f>
        <v>0.000018223</v>
      </c>
      <c r="D46" s="16">
        <v>6.1747E-4</v>
      </c>
      <c r="E46" s="5" t="s">
        <v>92</v>
      </c>
    </row>
    <row r="47" ht="15.75" customHeight="1">
      <c r="A47" s="13">
        <v>860.0</v>
      </c>
      <c r="B47" s="16">
        <v>1.5633E-6</v>
      </c>
      <c r="C47" s="16">
        <f>Inputs!$B$26</f>
        <v>0.000018223</v>
      </c>
      <c r="D47" s="16">
        <v>6.2533E-4</v>
      </c>
      <c r="E47" s="5" t="s">
        <v>92</v>
      </c>
    </row>
    <row r="48" ht="15.75" customHeight="1">
      <c r="A48" s="13">
        <v>880.0</v>
      </c>
      <c r="B48" s="16">
        <v>1.5828E-6</v>
      </c>
      <c r="C48" s="16">
        <f>Inputs!$B$26</f>
        <v>0.000018223</v>
      </c>
      <c r="D48" s="16">
        <v>6.3311E-4</v>
      </c>
      <c r="E48" s="5" t="s">
        <v>92</v>
      </c>
    </row>
    <row r="49" ht="15.75" customHeight="1">
      <c r="A49" s="13">
        <v>900.0</v>
      </c>
      <c r="B49" s="16">
        <v>1.602E-6</v>
      </c>
      <c r="C49" s="16">
        <f>Inputs!$B$26</f>
        <v>0.000018223</v>
      </c>
      <c r="D49" s="16">
        <v>6.4081E-4</v>
      </c>
      <c r="E49" s="5" t="s">
        <v>92</v>
      </c>
    </row>
    <row r="50" ht="15.75" customHeight="1">
      <c r="A50" s="13">
        <v>920.0</v>
      </c>
      <c r="B50" s="16">
        <v>1.6211E-6</v>
      </c>
      <c r="C50" s="16">
        <f>Inputs!$B$26</f>
        <v>0.000018223</v>
      </c>
      <c r="D50" s="16">
        <v>6.4844E-4</v>
      </c>
      <c r="E50" s="5" t="s">
        <v>92</v>
      </c>
    </row>
    <row r="51" ht="15.75" customHeight="1">
      <c r="A51" s="13">
        <v>940.0</v>
      </c>
      <c r="B51" s="16">
        <v>1.64E-6</v>
      </c>
      <c r="C51" s="16">
        <f>Inputs!$B$26</f>
        <v>0.000018223</v>
      </c>
      <c r="D51" s="16">
        <v>6.5599E-4</v>
      </c>
      <c r="E51" s="5" t="s">
        <v>92</v>
      </c>
    </row>
    <row r="52" ht="15.75" customHeight="1">
      <c r="A52" s="13">
        <v>960.0</v>
      </c>
      <c r="B52" s="16">
        <v>1.6586E-6</v>
      </c>
      <c r="C52" s="16">
        <f>Inputs!$B$26</f>
        <v>0.000018223</v>
      </c>
      <c r="D52" s="16">
        <v>6.6346E-4</v>
      </c>
      <c r="E52" s="5" t="s">
        <v>92</v>
      </c>
    </row>
    <row r="53" ht="15.75" customHeight="1">
      <c r="A53" s="13">
        <v>980.0</v>
      </c>
      <c r="B53" s="16">
        <v>1.6772E-6</v>
      </c>
      <c r="C53" s="16">
        <f>Inputs!$B$26</f>
        <v>0.000018223</v>
      </c>
      <c r="D53" s="16">
        <v>6.7086E-4</v>
      </c>
      <c r="E53" s="5" t="s">
        <v>92</v>
      </c>
    </row>
    <row r="54" ht="15.75" customHeight="1">
      <c r="A54" s="13">
        <v>1000.0</v>
      </c>
      <c r="B54" s="16">
        <v>1.6955E-6</v>
      </c>
      <c r="C54" s="16">
        <f>Inputs!$B$26</f>
        <v>0.000018223</v>
      </c>
      <c r="D54" s="16">
        <v>6.7821E-4</v>
      </c>
      <c r="E54" s="5" t="s">
        <v>92</v>
      </c>
    </row>
    <row r="55" ht="15.75" customHeight="1">
      <c r="A55" s="13">
        <v>1020.0</v>
      </c>
      <c r="B55" s="16">
        <v>1.7137E-6</v>
      </c>
      <c r="C55" s="16">
        <f>Inputs!$B$26</f>
        <v>0.000018223</v>
      </c>
      <c r="D55" s="16">
        <v>6.8548E-4</v>
      </c>
      <c r="E55" s="5" t="s">
        <v>92</v>
      </c>
    </row>
    <row r="56" ht="15.75" customHeight="1">
      <c r="A56" s="13">
        <v>1040.0</v>
      </c>
      <c r="B56" s="16">
        <v>1.7317E-6</v>
      </c>
      <c r="C56" s="16">
        <f>Inputs!$B$26</f>
        <v>0.000018223</v>
      </c>
      <c r="D56" s="16">
        <v>6.9268E-4</v>
      </c>
      <c r="E56" s="5" t="s">
        <v>92</v>
      </c>
    </row>
    <row r="57" ht="15.75" customHeight="1">
      <c r="A57" s="13">
        <v>1060.0</v>
      </c>
      <c r="B57" s="16">
        <v>1.7496E-6</v>
      </c>
      <c r="C57" s="16">
        <f>Inputs!$B$26</f>
        <v>0.000018223</v>
      </c>
      <c r="D57" s="16">
        <v>6.9983E-4</v>
      </c>
      <c r="E57" s="5" t="s">
        <v>92</v>
      </c>
    </row>
    <row r="58" ht="15.75" customHeight="1">
      <c r="A58" s="13">
        <v>1080.0</v>
      </c>
      <c r="B58" s="16">
        <v>1.7673E-6</v>
      </c>
      <c r="C58" s="16">
        <f>Inputs!$B$26</f>
        <v>0.000018223</v>
      </c>
      <c r="D58" s="16">
        <v>7.0692E-4</v>
      </c>
      <c r="E58" s="5" t="s">
        <v>92</v>
      </c>
    </row>
    <row r="59" ht="15.75" customHeight="1">
      <c r="A59" s="13">
        <v>1100.0</v>
      </c>
      <c r="B59" s="16">
        <v>1.7849E-6</v>
      </c>
      <c r="C59" s="16">
        <f>Inputs!$B$26</f>
        <v>0.000018223</v>
      </c>
      <c r="D59" s="16">
        <v>7.1395E-4</v>
      </c>
      <c r="E59" s="5" t="s">
        <v>92</v>
      </c>
    </row>
    <row r="60" ht="15.75" customHeight="1">
      <c r="A60" s="13">
        <v>1120.0</v>
      </c>
      <c r="B60" s="16">
        <v>1.8023E-6</v>
      </c>
      <c r="C60" s="16">
        <f>Inputs!$B$26</f>
        <v>0.000018223</v>
      </c>
      <c r="D60" s="16">
        <v>7.2092E-4</v>
      </c>
      <c r="E60" s="5" t="s">
        <v>92</v>
      </c>
    </row>
    <row r="61" ht="15.75" customHeight="1">
      <c r="A61" s="13">
        <v>1140.0</v>
      </c>
      <c r="B61" s="16">
        <v>1.8196E-6</v>
      </c>
      <c r="C61" s="16">
        <f>Inputs!$B$26</f>
        <v>0.000018223</v>
      </c>
      <c r="D61" s="16">
        <v>7.2784E-4</v>
      </c>
      <c r="E61" s="5" t="s">
        <v>92</v>
      </c>
    </row>
    <row r="62" ht="15.75" customHeight="1">
      <c r="A62" s="13">
        <v>1160.0</v>
      </c>
      <c r="B62" s="16">
        <v>1.8368E-6</v>
      </c>
      <c r="C62" s="16">
        <f>Inputs!$B$26</f>
        <v>0.000018223</v>
      </c>
      <c r="D62" s="16">
        <v>7.347E-4</v>
      </c>
      <c r="E62" s="5" t="s">
        <v>92</v>
      </c>
    </row>
    <row r="63" ht="15.75" customHeight="1">
      <c r="A63" s="13">
        <v>1180.0</v>
      </c>
      <c r="B63" s="16">
        <v>1.8538E-6</v>
      </c>
      <c r="C63" s="16">
        <f>Inputs!$B$26</f>
        <v>0.000018223</v>
      </c>
      <c r="D63" s="16">
        <v>7.4152E-4</v>
      </c>
      <c r="E63" s="5" t="s">
        <v>92</v>
      </c>
    </row>
    <row r="64" ht="15.75" customHeight="1">
      <c r="A64" s="13">
        <v>1200.0</v>
      </c>
      <c r="B64" s="16">
        <v>1.8707E-6</v>
      </c>
      <c r="C64" s="16">
        <f>Inputs!$B$26</f>
        <v>0.000018223</v>
      </c>
      <c r="D64" s="16">
        <v>7.4827E-4</v>
      </c>
      <c r="E64" s="5" t="s">
        <v>92</v>
      </c>
    </row>
    <row r="65" ht="15.75" customHeight="1">
      <c r="A65" s="13">
        <v>1220.0</v>
      </c>
      <c r="B65" s="16">
        <v>1.8875E-6</v>
      </c>
      <c r="C65" s="16">
        <f>Inputs!$B$26</f>
        <v>0.000018223</v>
      </c>
      <c r="D65" s="16">
        <v>7.5499E-4</v>
      </c>
      <c r="E65" s="5" t="s">
        <v>92</v>
      </c>
    </row>
    <row r="66" ht="15.75" customHeight="1">
      <c r="A66" s="13">
        <v>1240.0</v>
      </c>
      <c r="B66" s="16">
        <v>1.9041E-6</v>
      </c>
      <c r="C66" s="16">
        <f>Inputs!$B$26</f>
        <v>0.000018223</v>
      </c>
      <c r="D66" s="16">
        <v>7.6165E-4</v>
      </c>
      <c r="E66" s="5" t="s">
        <v>92</v>
      </c>
    </row>
    <row r="67" ht="15.75" customHeight="1">
      <c r="A67" s="13">
        <v>1260.0</v>
      </c>
      <c r="B67" s="16">
        <v>1.9207E-6</v>
      </c>
      <c r="C67" s="16">
        <f>Inputs!$B$26</f>
        <v>0.000018223</v>
      </c>
      <c r="D67" s="16">
        <v>7.6827E-4</v>
      </c>
      <c r="E67" s="5" t="s">
        <v>92</v>
      </c>
    </row>
    <row r="68" ht="15.75" customHeight="1">
      <c r="A68" s="13">
        <v>1280.0</v>
      </c>
      <c r="B68" s="16">
        <v>1.9371E-6</v>
      </c>
      <c r="C68" s="16">
        <f>Inputs!$B$26</f>
        <v>0.000018223</v>
      </c>
      <c r="D68" s="16">
        <v>7.7484E-4</v>
      </c>
      <c r="E68" s="5" t="s">
        <v>92</v>
      </c>
    </row>
    <row r="69" ht="15.75" customHeight="1">
      <c r="A69" s="13">
        <v>1300.0</v>
      </c>
      <c r="B69" s="16">
        <v>1.9534E-6</v>
      </c>
      <c r="C69" s="16">
        <f>Inputs!$B$26</f>
        <v>0.000018223</v>
      </c>
      <c r="D69" s="16">
        <v>7.8138E-4</v>
      </c>
      <c r="E69" s="5" t="s">
        <v>92</v>
      </c>
    </row>
    <row r="70" ht="15.75" customHeight="1">
      <c r="A70" s="13">
        <v>1320.0</v>
      </c>
      <c r="B70" s="16">
        <v>1.9697E-6</v>
      </c>
      <c r="C70" s="16">
        <f>Inputs!$B$26</f>
        <v>0.000018223</v>
      </c>
      <c r="D70" s="16">
        <v>7.8787E-4</v>
      </c>
      <c r="E70" s="5" t="s">
        <v>92</v>
      </c>
    </row>
    <row r="71" ht="15.75" customHeight="1">
      <c r="A71" s="13">
        <v>1340.0</v>
      </c>
      <c r="B71" s="16">
        <v>1.985E-6</v>
      </c>
      <c r="C71" s="16">
        <f>Inputs!$B$26</f>
        <v>0.000018223</v>
      </c>
      <c r="D71" s="16">
        <v>7.9432E-4</v>
      </c>
      <c r="E71" s="5" t="s">
        <v>92</v>
      </c>
    </row>
    <row r="72" ht="15.75" customHeight="1">
      <c r="A72" s="13">
        <v>1360.0</v>
      </c>
      <c r="B72" s="16">
        <v>2.0018E-6</v>
      </c>
      <c r="C72" s="16">
        <f>Inputs!$B$26</f>
        <v>0.000018223</v>
      </c>
      <c r="D72" s="16">
        <v>8.0073E-4</v>
      </c>
      <c r="E72" s="5" t="s">
        <v>92</v>
      </c>
    </row>
    <row r="73" ht="15.75" customHeight="1">
      <c r="A73" s="13">
        <v>1380.0</v>
      </c>
      <c r="B73" s="16">
        <v>2.0178E-6</v>
      </c>
      <c r="C73" s="16">
        <f>Inputs!$B$26</f>
        <v>0.000018223</v>
      </c>
      <c r="D73" s="16">
        <v>8.071E-4</v>
      </c>
      <c r="E73" s="5" t="s">
        <v>92</v>
      </c>
    </row>
    <row r="74" ht="15.75" customHeight="1">
      <c r="A74" s="13">
        <v>1400.0</v>
      </c>
      <c r="B74" s="16">
        <v>2.0336E-6</v>
      </c>
      <c r="C74" s="16">
        <f>Inputs!$B$26</f>
        <v>0.000018223</v>
      </c>
      <c r="D74" s="16">
        <v>8.1343E-4</v>
      </c>
      <c r="E74" s="5" t="s">
        <v>92</v>
      </c>
    </row>
    <row r="75" ht="15.75" customHeight="1">
      <c r="A75" s="13">
        <v>1420.0</v>
      </c>
      <c r="B75" s="16">
        <v>2.0493E-6</v>
      </c>
      <c r="C75" s="16">
        <f>Inputs!$B$26</f>
        <v>0.000018223</v>
      </c>
      <c r="D75" s="16">
        <v>8.1971E-4</v>
      </c>
      <c r="E75" s="5" t="s">
        <v>92</v>
      </c>
    </row>
    <row r="76" ht="15.75" customHeight="1">
      <c r="A76" s="13">
        <v>1440.0</v>
      </c>
      <c r="B76" s="16">
        <v>2.0649E-6</v>
      </c>
      <c r="C76" s="16">
        <f>Inputs!$B$26</f>
        <v>0.000018223</v>
      </c>
      <c r="D76" s="16">
        <v>8.2596E-4</v>
      </c>
      <c r="E76" s="5" t="s">
        <v>92</v>
      </c>
    </row>
    <row r="77" ht="15.75" customHeight="1">
      <c r="A77" s="13">
        <v>1460.0</v>
      </c>
      <c r="B77" s="16">
        <v>2.0804E-6</v>
      </c>
      <c r="C77" s="16">
        <f>Inputs!$B$26</f>
        <v>0.000018223</v>
      </c>
      <c r="D77" s="16">
        <v>8.3218E-4</v>
      </c>
      <c r="E77" s="5" t="s">
        <v>92</v>
      </c>
    </row>
    <row r="78" ht="15.75" customHeight="1">
      <c r="A78" s="13">
        <v>1480.0</v>
      </c>
      <c r="B78" s="16">
        <v>2.0959E-6</v>
      </c>
      <c r="C78" s="16">
        <f>Inputs!$B$26</f>
        <v>0.000018223</v>
      </c>
      <c r="D78" s="16">
        <v>8.3836E-4</v>
      </c>
      <c r="E78" s="5" t="s">
        <v>92</v>
      </c>
    </row>
    <row r="79" ht="15.75" customHeight="1">
      <c r="A79" s="13">
        <v>1500.0</v>
      </c>
      <c r="B79" s="16">
        <v>2.1113E-6</v>
      </c>
      <c r="C79" s="16">
        <f>Inputs!$B$26</f>
        <v>0.000018223</v>
      </c>
      <c r="D79" s="16">
        <v>8.445E-4</v>
      </c>
      <c r="E79" s="5" t="s">
        <v>92</v>
      </c>
    </row>
    <row r="80" ht="15.75" customHeight="1">
      <c r="A80" s="13">
        <v>1520.0</v>
      </c>
      <c r="B80" s="16">
        <v>2.1265E-6</v>
      </c>
      <c r="C80" s="16">
        <f>Inputs!$B$26</f>
        <v>0.000018223</v>
      </c>
      <c r="D80" s="16">
        <v>8.5061E-4</v>
      </c>
      <c r="E80" s="5" t="s">
        <v>92</v>
      </c>
    </row>
    <row r="81" ht="15.75" customHeight="1">
      <c r="A81" s="13">
        <v>1540.0</v>
      </c>
      <c r="B81" s="16">
        <v>2.1417E-6</v>
      </c>
      <c r="C81" s="16">
        <f>Inputs!$B$26</f>
        <v>0.000018223</v>
      </c>
      <c r="D81" s="16">
        <v>8.5667E-4</v>
      </c>
      <c r="E81" s="5" t="s">
        <v>92</v>
      </c>
    </row>
    <row r="82" ht="15.75" customHeight="1">
      <c r="A82" s="13">
        <v>1560.0</v>
      </c>
      <c r="B82" s="16">
        <v>2.1568E-6</v>
      </c>
      <c r="C82" s="16">
        <f>Inputs!$B$26</f>
        <v>0.000018223</v>
      </c>
      <c r="D82" s="16">
        <v>8.627E-4</v>
      </c>
      <c r="E82" s="5" t="s">
        <v>92</v>
      </c>
    </row>
    <row r="83" ht="15.75" customHeight="1">
      <c r="A83" s="13">
        <v>1580.0</v>
      </c>
      <c r="B83" s="16">
        <v>2.1717E-6</v>
      </c>
      <c r="C83" s="16">
        <f>Inputs!$B$26</f>
        <v>0.000018223</v>
      </c>
      <c r="D83" s="16">
        <v>8.6869E-4</v>
      </c>
      <c r="E83" s="5" t="s">
        <v>92</v>
      </c>
    </row>
    <row r="84" ht="15.75" customHeight="1">
      <c r="A84" s="13">
        <v>1600.0</v>
      </c>
      <c r="B84" s="16">
        <v>2.1866E-6</v>
      </c>
      <c r="C84" s="16">
        <f>Inputs!$B$26</f>
        <v>0.000018223</v>
      </c>
      <c r="D84" s="16">
        <v>8.7466E-4</v>
      </c>
      <c r="E84" s="5" t="s">
        <v>92</v>
      </c>
    </row>
    <row r="85" ht="15.75" customHeight="1">
      <c r="A85" s="13">
        <v>1620.0</v>
      </c>
      <c r="B85" s="16">
        <v>2.2015E-6</v>
      </c>
      <c r="C85" s="16">
        <f>Inputs!$B$26</f>
        <v>0.000018223</v>
      </c>
      <c r="D85" s="16">
        <v>8.806E-4</v>
      </c>
      <c r="E85" s="5" t="s">
        <v>92</v>
      </c>
    </row>
    <row r="86" ht="15.75" customHeight="1">
      <c r="A86" s="13">
        <v>1640.0</v>
      </c>
      <c r="B86" s="16">
        <v>2.2163E-6</v>
      </c>
      <c r="C86" s="16">
        <f>Inputs!$B$26</f>
        <v>0.000018223</v>
      </c>
      <c r="D86" s="16">
        <v>8.865E-4</v>
      </c>
      <c r="E86" s="5" t="s">
        <v>92</v>
      </c>
    </row>
    <row r="87" ht="15.75" customHeight="1">
      <c r="A87" s="13">
        <v>1660.0</v>
      </c>
      <c r="B87" s="16">
        <v>2.2309E-6</v>
      </c>
      <c r="C87" s="16">
        <f>Inputs!$B$26</f>
        <v>0.000018223</v>
      </c>
      <c r="D87" s="16">
        <v>8.9238E-4</v>
      </c>
      <c r="E87" s="5" t="s">
        <v>92</v>
      </c>
    </row>
    <row r="88" ht="15.75" customHeight="1">
      <c r="A88" s="13">
        <v>1680.0</v>
      </c>
      <c r="B88" s="16">
        <v>2.2455E-6</v>
      </c>
      <c r="C88" s="16">
        <f>Inputs!$B$26</f>
        <v>0.000018223</v>
      </c>
      <c r="D88" s="16">
        <v>8.9822E-4</v>
      </c>
      <c r="E88" s="5" t="s">
        <v>92</v>
      </c>
    </row>
    <row r="89" ht="15.75" customHeight="1">
      <c r="A89" s="13">
        <v>1700.0</v>
      </c>
      <c r="B89" s="16">
        <v>2.2601E-6</v>
      </c>
      <c r="C89" s="16">
        <f>Inputs!$B$26</f>
        <v>0.000018223</v>
      </c>
      <c r="D89" s="16">
        <v>9.0402E-4</v>
      </c>
      <c r="E89" s="5" t="s">
        <v>92</v>
      </c>
    </row>
    <row r="90" ht="15.75" customHeight="1">
      <c r="A90" s="13">
        <v>1720.0</v>
      </c>
      <c r="B90" s="16">
        <v>2.2745E-6</v>
      </c>
      <c r="C90" s="16">
        <f>Inputs!$B$26</f>
        <v>0.000018223</v>
      </c>
      <c r="D90" s="16">
        <v>9.098E-4</v>
      </c>
      <c r="E90" s="5" t="s">
        <v>92</v>
      </c>
    </row>
    <row r="91" ht="15.75" customHeight="1">
      <c r="A91" s="13">
        <v>1740.0</v>
      </c>
      <c r="B91" s="16">
        <v>2.2888E-6</v>
      </c>
      <c r="C91" s="16">
        <f>Inputs!$B$26</f>
        <v>0.000018223</v>
      </c>
      <c r="D91" s="16">
        <v>9.1554E-4</v>
      </c>
      <c r="E91" s="5" t="s">
        <v>92</v>
      </c>
    </row>
    <row r="92" ht="15.75" customHeight="1">
      <c r="A92" s="13">
        <v>1760.0</v>
      </c>
      <c r="B92" s="16">
        <v>2.3032E-6</v>
      </c>
      <c r="C92" s="16">
        <f>Inputs!$B$26</f>
        <v>0.000018223</v>
      </c>
      <c r="D92" s="16">
        <v>9.2127E-4</v>
      </c>
      <c r="E92" s="5" t="s">
        <v>92</v>
      </c>
    </row>
    <row r="93" ht="15.75" customHeight="1">
      <c r="A93" s="13">
        <v>1780.0</v>
      </c>
      <c r="B93" s="16">
        <v>2.3174E-6</v>
      </c>
      <c r="C93" s="16">
        <f>Inputs!$B$26</f>
        <v>0.000018223</v>
      </c>
      <c r="D93" s="16">
        <v>9.2696E-4</v>
      </c>
      <c r="E93" s="5" t="s">
        <v>92</v>
      </c>
    </row>
    <row r="94" ht="15.75" customHeight="1">
      <c r="A94" s="13">
        <v>1800.0</v>
      </c>
      <c r="B94" s="16">
        <v>2.3316E-6</v>
      </c>
      <c r="C94" s="16">
        <f>Inputs!$B$26</f>
        <v>0.000018223</v>
      </c>
      <c r="D94" s="16">
        <v>9.3263E-4</v>
      </c>
      <c r="E94" s="5" t="s">
        <v>92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3" width="14.0"/>
    <col customWidth="1" min="4" max="4" width="12.0"/>
    <col customWidth="1" min="5" max="5" width="16.0"/>
    <col customWidth="1" min="6" max="6" width="12.0"/>
    <col customWidth="1" min="7" max="7" width="16.0"/>
    <col customWidth="1" min="8" max="26" width="9.0"/>
  </cols>
  <sheetData>
    <row r="1">
      <c r="A1" s="1" t="s">
        <v>93</v>
      </c>
      <c r="B1" s="2"/>
      <c r="C1" s="2"/>
      <c r="D1" s="2"/>
      <c r="E1" s="2"/>
      <c r="F1" s="2"/>
      <c r="G1" s="3"/>
    </row>
    <row r="3">
      <c r="A3" s="4" t="s">
        <v>70</v>
      </c>
      <c r="B3" s="4" t="s">
        <v>89</v>
      </c>
      <c r="C3" s="4" t="s">
        <v>90</v>
      </c>
      <c r="D3" s="4" t="s">
        <v>94</v>
      </c>
      <c r="E3" s="4" t="s">
        <v>95</v>
      </c>
      <c r="F3" s="4" t="s">
        <v>96</v>
      </c>
      <c r="G3" s="4" t="s">
        <v>97</v>
      </c>
    </row>
    <row r="4">
      <c r="A4" s="13">
        <f>Sogginess_Raw!A4</f>
        <v>0</v>
      </c>
      <c r="B4" s="16">
        <f>Sogginess_Raw!B4</f>
        <v>0</v>
      </c>
      <c r="C4" s="16">
        <f>Sogginess_Raw!C4</f>
        <v>0.000018223</v>
      </c>
      <c r="D4" s="15">
        <f t="shared" ref="D4:D94" si="1">IF(C4=0,0,B4/C4)</f>
        <v>0</v>
      </c>
      <c r="E4" s="16">
        <f>Inputs!$B$23*Inputs!$B$22*B4</f>
        <v>0</v>
      </c>
      <c r="F4" s="12">
        <f t="shared" ref="F4:F94" si="2">1000*E4</f>
        <v>0</v>
      </c>
      <c r="G4" s="16">
        <f>E4-Sogginess_Raw!D4</f>
        <v>0</v>
      </c>
    </row>
    <row r="5">
      <c r="A5" s="13">
        <f>Sogginess_Raw!A5</f>
        <v>20</v>
      </c>
      <c r="B5" s="16">
        <f>Sogginess_Raw!B5</f>
        <v>0</v>
      </c>
      <c r="C5" s="16">
        <f>Sogginess_Raw!C5</f>
        <v>0.000018223</v>
      </c>
      <c r="D5" s="15">
        <f t="shared" si="1"/>
        <v>0</v>
      </c>
      <c r="E5" s="16">
        <f>Inputs!$B$23*Inputs!$B$22*B5</f>
        <v>0</v>
      </c>
      <c r="F5" s="12">
        <f t="shared" si="2"/>
        <v>0</v>
      </c>
      <c r="G5" s="16">
        <f>E5-Sogginess_Raw!D5</f>
        <v>0</v>
      </c>
    </row>
    <row r="6">
      <c r="A6" s="13">
        <f>Sogginess_Raw!A6</f>
        <v>40</v>
      </c>
      <c r="B6" s="16">
        <f>Sogginess_Raw!B6</f>
        <v>0</v>
      </c>
      <c r="C6" s="16">
        <f>Sogginess_Raw!C6</f>
        <v>0.000018223</v>
      </c>
      <c r="D6" s="15">
        <f t="shared" si="1"/>
        <v>0</v>
      </c>
      <c r="E6" s="16">
        <f>Inputs!$B$23*Inputs!$B$22*B6</f>
        <v>0</v>
      </c>
      <c r="F6" s="12">
        <f t="shared" si="2"/>
        <v>0</v>
      </c>
      <c r="G6" s="16">
        <f>E6-Sogginess_Raw!D6</f>
        <v>0</v>
      </c>
    </row>
    <row r="7">
      <c r="A7" s="13">
        <f>Sogginess_Raw!A7</f>
        <v>60</v>
      </c>
      <c r="B7" s="16">
        <f>Sogginess_Raw!B7</f>
        <v>0</v>
      </c>
      <c r="C7" s="16">
        <f>Sogginess_Raw!C7</f>
        <v>0.000018223</v>
      </c>
      <c r="D7" s="15">
        <f t="shared" si="1"/>
        <v>0</v>
      </c>
      <c r="E7" s="16">
        <f>Inputs!$B$23*Inputs!$B$22*B7</f>
        <v>0</v>
      </c>
      <c r="F7" s="12">
        <f t="shared" si="2"/>
        <v>0</v>
      </c>
      <c r="G7" s="16">
        <f>E7-Sogginess_Raw!D7</f>
        <v>0</v>
      </c>
    </row>
    <row r="8">
      <c r="A8" s="13">
        <f>Sogginess_Raw!A8</f>
        <v>80</v>
      </c>
      <c r="B8" s="16">
        <f>Sogginess_Raw!B8</f>
        <v>0</v>
      </c>
      <c r="C8" s="16">
        <f>Sogginess_Raw!C8</f>
        <v>0.000018223</v>
      </c>
      <c r="D8" s="15">
        <f t="shared" si="1"/>
        <v>0</v>
      </c>
      <c r="E8" s="16">
        <f>Inputs!$B$23*Inputs!$B$22*B8</f>
        <v>0</v>
      </c>
      <c r="F8" s="12">
        <f t="shared" si="2"/>
        <v>0</v>
      </c>
      <c r="G8" s="16">
        <f>E8-Sogginess_Raw!D8</f>
        <v>0</v>
      </c>
    </row>
    <row r="9">
      <c r="A9" s="13">
        <f>Sogginess_Raw!A9</f>
        <v>100</v>
      </c>
      <c r="B9" s="16">
        <f>Sogginess_Raw!B9</f>
        <v>0</v>
      </c>
      <c r="C9" s="16">
        <f>Sogginess_Raw!C9</f>
        <v>0.000018223</v>
      </c>
      <c r="D9" s="15">
        <f t="shared" si="1"/>
        <v>0</v>
      </c>
      <c r="E9" s="16">
        <f>Inputs!$B$23*Inputs!$B$22*B9</f>
        <v>0</v>
      </c>
      <c r="F9" s="12">
        <f t="shared" si="2"/>
        <v>0</v>
      </c>
      <c r="G9" s="16">
        <f>E9-Sogginess_Raw!D9</f>
        <v>0</v>
      </c>
    </row>
    <row r="10">
      <c r="A10" s="13">
        <f>Sogginess_Raw!A10</f>
        <v>120</v>
      </c>
      <c r="B10" s="16">
        <f>Sogginess_Raw!B10</f>
        <v>0</v>
      </c>
      <c r="C10" s="16">
        <f>Sogginess_Raw!C10</f>
        <v>0.000018223</v>
      </c>
      <c r="D10" s="15">
        <f t="shared" si="1"/>
        <v>0</v>
      </c>
      <c r="E10" s="16">
        <f>Inputs!$B$23*Inputs!$B$22*B10</f>
        <v>0</v>
      </c>
      <c r="F10" s="12">
        <f t="shared" si="2"/>
        <v>0</v>
      </c>
      <c r="G10" s="16">
        <f>E10-Sogginess_Raw!D10</f>
        <v>0</v>
      </c>
    </row>
    <row r="11">
      <c r="A11" s="13">
        <f>Sogginess_Raw!A11</f>
        <v>140</v>
      </c>
      <c r="B11" s="16">
        <f>Sogginess_Raw!B11</f>
        <v>0</v>
      </c>
      <c r="C11" s="16">
        <f>Sogginess_Raw!C11</f>
        <v>0.000018223</v>
      </c>
      <c r="D11" s="15">
        <f t="shared" si="1"/>
        <v>0</v>
      </c>
      <c r="E11" s="16">
        <f>Inputs!$B$23*Inputs!$B$22*B11</f>
        <v>0</v>
      </c>
      <c r="F11" s="12">
        <f t="shared" si="2"/>
        <v>0</v>
      </c>
      <c r="G11" s="16">
        <f>E11-Sogginess_Raw!D11</f>
        <v>0</v>
      </c>
    </row>
    <row r="12">
      <c r="A12" s="13">
        <f>Sogginess_Raw!A12</f>
        <v>160</v>
      </c>
      <c r="B12" s="16">
        <f>Sogginess_Raw!B12</f>
        <v>0</v>
      </c>
      <c r="C12" s="16">
        <f>Sogginess_Raw!C12</f>
        <v>0.000018223</v>
      </c>
      <c r="D12" s="15">
        <f t="shared" si="1"/>
        <v>0</v>
      </c>
      <c r="E12" s="16">
        <f>Inputs!$B$23*Inputs!$B$22*B12</f>
        <v>0</v>
      </c>
      <c r="F12" s="12">
        <f t="shared" si="2"/>
        <v>0</v>
      </c>
      <c r="G12" s="16">
        <f>E12-Sogginess_Raw!D12</f>
        <v>0</v>
      </c>
    </row>
    <row r="13">
      <c r="A13" s="13">
        <f>Sogginess_Raw!A13</f>
        <v>180</v>
      </c>
      <c r="B13" s="16">
        <f>Sogginess_Raw!B13</f>
        <v>0</v>
      </c>
      <c r="C13" s="16">
        <f>Sogginess_Raw!C13</f>
        <v>0.000018223</v>
      </c>
      <c r="D13" s="15">
        <f t="shared" si="1"/>
        <v>0</v>
      </c>
      <c r="E13" s="16">
        <f>Inputs!$B$23*Inputs!$B$22*B13</f>
        <v>0</v>
      </c>
      <c r="F13" s="12">
        <f t="shared" si="2"/>
        <v>0</v>
      </c>
      <c r="G13" s="16">
        <f>E13-Sogginess_Raw!D13</f>
        <v>0</v>
      </c>
    </row>
    <row r="14">
      <c r="A14" s="13">
        <f>Sogginess_Raw!A14</f>
        <v>200</v>
      </c>
      <c r="B14" s="16">
        <f>Sogginess_Raw!B14</f>
        <v>0</v>
      </c>
      <c r="C14" s="16">
        <f>Sogginess_Raw!C14</f>
        <v>0.000018223</v>
      </c>
      <c r="D14" s="15">
        <f t="shared" si="1"/>
        <v>0</v>
      </c>
      <c r="E14" s="16">
        <f>Inputs!$B$23*Inputs!$B$22*B14</f>
        <v>0</v>
      </c>
      <c r="F14" s="12">
        <f t="shared" si="2"/>
        <v>0</v>
      </c>
      <c r="G14" s="16">
        <f>E14-Sogginess_Raw!D14</f>
        <v>0</v>
      </c>
    </row>
    <row r="15">
      <c r="A15" s="13">
        <f>Sogginess_Raw!A15</f>
        <v>220</v>
      </c>
      <c r="B15" s="16">
        <f>Sogginess_Raw!B15</f>
        <v>0</v>
      </c>
      <c r="C15" s="16">
        <f>Sogginess_Raw!C15</f>
        <v>0.000018223</v>
      </c>
      <c r="D15" s="15">
        <f t="shared" si="1"/>
        <v>0</v>
      </c>
      <c r="E15" s="16">
        <f>Inputs!$B$23*Inputs!$B$22*B15</f>
        <v>0</v>
      </c>
      <c r="F15" s="12">
        <f t="shared" si="2"/>
        <v>0</v>
      </c>
      <c r="G15" s="16">
        <f>E15-Sogginess_Raw!D15</f>
        <v>0</v>
      </c>
    </row>
    <row r="16">
      <c r="A16" s="13">
        <f>Sogginess_Raw!A16</f>
        <v>240</v>
      </c>
      <c r="B16" s="16">
        <f>Sogginess_Raw!B16</f>
        <v>0</v>
      </c>
      <c r="C16" s="16">
        <f>Sogginess_Raw!C16</f>
        <v>0.000018223</v>
      </c>
      <c r="D16" s="15">
        <f t="shared" si="1"/>
        <v>0</v>
      </c>
      <c r="E16" s="16">
        <f>Inputs!$B$23*Inputs!$B$22*B16</f>
        <v>0</v>
      </c>
      <c r="F16" s="12">
        <f t="shared" si="2"/>
        <v>0</v>
      </c>
      <c r="G16" s="16">
        <f>E16-Sogginess_Raw!D16</f>
        <v>0</v>
      </c>
    </row>
    <row r="17">
      <c r="A17" s="13">
        <f>Sogginess_Raw!A17</f>
        <v>260</v>
      </c>
      <c r="B17" s="16">
        <f>Sogginess_Raw!B17</f>
        <v>0</v>
      </c>
      <c r="C17" s="16">
        <f>Sogginess_Raw!C17</f>
        <v>0.000018223</v>
      </c>
      <c r="D17" s="15">
        <f t="shared" si="1"/>
        <v>0</v>
      </c>
      <c r="E17" s="16">
        <f>Inputs!$B$23*Inputs!$B$22*B17</f>
        <v>0</v>
      </c>
      <c r="F17" s="12">
        <f t="shared" si="2"/>
        <v>0</v>
      </c>
      <c r="G17" s="16">
        <f>E17-Sogginess_Raw!D17</f>
        <v>0</v>
      </c>
    </row>
    <row r="18">
      <c r="A18" s="13">
        <f>Sogginess_Raw!A18</f>
        <v>280</v>
      </c>
      <c r="B18" s="16">
        <f>Sogginess_Raw!B18</f>
        <v>0</v>
      </c>
      <c r="C18" s="16">
        <f>Sogginess_Raw!C18</f>
        <v>0.000018223</v>
      </c>
      <c r="D18" s="15">
        <f t="shared" si="1"/>
        <v>0</v>
      </c>
      <c r="E18" s="16">
        <f>Inputs!$B$23*Inputs!$B$22*B18</f>
        <v>0</v>
      </c>
      <c r="F18" s="12">
        <f t="shared" si="2"/>
        <v>0</v>
      </c>
      <c r="G18" s="16">
        <f>E18-Sogginess_Raw!D18</f>
        <v>0</v>
      </c>
    </row>
    <row r="19">
      <c r="A19" s="13">
        <f>Sogginess_Raw!A19</f>
        <v>300</v>
      </c>
      <c r="B19" s="16">
        <f>Sogginess_Raw!B19</f>
        <v>0</v>
      </c>
      <c r="C19" s="16">
        <f>Sogginess_Raw!C19</f>
        <v>0.000018223</v>
      </c>
      <c r="D19" s="15">
        <f t="shared" si="1"/>
        <v>0</v>
      </c>
      <c r="E19" s="16">
        <f>Inputs!$B$23*Inputs!$B$22*B19</f>
        <v>0</v>
      </c>
      <c r="F19" s="12">
        <f t="shared" si="2"/>
        <v>0</v>
      </c>
      <c r="G19" s="16">
        <f>E19-Sogginess_Raw!D19</f>
        <v>0</v>
      </c>
    </row>
    <row r="20">
      <c r="A20" s="13">
        <f>Sogginess_Raw!A20</f>
        <v>320</v>
      </c>
      <c r="B20" s="16">
        <f>Sogginess_Raw!B20</f>
        <v>0</v>
      </c>
      <c r="C20" s="16">
        <f>Sogginess_Raw!C20</f>
        <v>0.000018223</v>
      </c>
      <c r="D20" s="15">
        <f t="shared" si="1"/>
        <v>0</v>
      </c>
      <c r="E20" s="16">
        <f>Inputs!$B$23*Inputs!$B$22*B20</f>
        <v>0</v>
      </c>
      <c r="F20" s="12">
        <f t="shared" si="2"/>
        <v>0</v>
      </c>
      <c r="G20" s="16">
        <f>E20-Sogginess_Raw!D20</f>
        <v>0</v>
      </c>
    </row>
    <row r="21" ht="15.75" customHeight="1">
      <c r="A21" s="13">
        <f>Sogginess_Raw!A21</f>
        <v>340</v>
      </c>
      <c r="B21" s="16">
        <f>Sogginess_Raw!B21</f>
        <v>0</v>
      </c>
      <c r="C21" s="16">
        <f>Sogginess_Raw!C21</f>
        <v>0.000018223</v>
      </c>
      <c r="D21" s="15">
        <f t="shared" si="1"/>
        <v>0</v>
      </c>
      <c r="E21" s="16">
        <f>Inputs!$B$23*Inputs!$B$22*B21</f>
        <v>0</v>
      </c>
      <c r="F21" s="12">
        <f t="shared" si="2"/>
        <v>0</v>
      </c>
      <c r="G21" s="16">
        <f>E21-Sogginess_Raw!D21</f>
        <v>0</v>
      </c>
    </row>
    <row r="22" ht="15.75" customHeight="1">
      <c r="A22" s="13">
        <f>Sogginess_Raw!A22</f>
        <v>360</v>
      </c>
      <c r="B22" s="16">
        <f>Sogginess_Raw!B22</f>
        <v>0</v>
      </c>
      <c r="C22" s="16">
        <f>Sogginess_Raw!C22</f>
        <v>0.000018223</v>
      </c>
      <c r="D22" s="15">
        <f t="shared" si="1"/>
        <v>0</v>
      </c>
      <c r="E22" s="16">
        <f>Inputs!$B$23*Inputs!$B$22*B22</f>
        <v>0</v>
      </c>
      <c r="F22" s="12">
        <f t="shared" si="2"/>
        <v>0</v>
      </c>
      <c r="G22" s="16">
        <f>E22-Sogginess_Raw!D22</f>
        <v>0</v>
      </c>
    </row>
    <row r="23" ht="15.75" customHeight="1">
      <c r="A23" s="13">
        <f>Sogginess_Raw!A23</f>
        <v>380</v>
      </c>
      <c r="B23" s="16">
        <f>Sogginess_Raw!B23</f>
        <v>0</v>
      </c>
      <c r="C23" s="16">
        <f>Sogginess_Raw!C23</f>
        <v>0.000018223</v>
      </c>
      <c r="D23" s="15">
        <f t="shared" si="1"/>
        <v>0</v>
      </c>
      <c r="E23" s="16">
        <f>Inputs!$B$23*Inputs!$B$22*B23</f>
        <v>0</v>
      </c>
      <c r="F23" s="12">
        <f t="shared" si="2"/>
        <v>0</v>
      </c>
      <c r="G23" s="16">
        <f>E23-Sogginess_Raw!D23</f>
        <v>0</v>
      </c>
    </row>
    <row r="24" ht="15.75" customHeight="1">
      <c r="A24" s="13">
        <f>Sogginess_Raw!A24</f>
        <v>400</v>
      </c>
      <c r="B24" s="16">
        <f>Sogginess_Raw!B24</f>
        <v>0</v>
      </c>
      <c r="C24" s="16">
        <f>Sogginess_Raw!C24</f>
        <v>0.000018223</v>
      </c>
      <c r="D24" s="15">
        <f t="shared" si="1"/>
        <v>0</v>
      </c>
      <c r="E24" s="16">
        <f>Inputs!$B$23*Inputs!$B$22*B24</f>
        <v>0</v>
      </c>
      <c r="F24" s="12">
        <f t="shared" si="2"/>
        <v>0</v>
      </c>
      <c r="G24" s="16">
        <f>E24-Sogginess_Raw!D24</f>
        <v>0</v>
      </c>
    </row>
    <row r="25" ht="15.75" customHeight="1">
      <c r="A25" s="13">
        <f>Sogginess_Raw!A25</f>
        <v>420</v>
      </c>
      <c r="B25" s="16">
        <f>Sogginess_Raw!B25</f>
        <v>0</v>
      </c>
      <c r="C25" s="16">
        <f>Sogginess_Raw!C25</f>
        <v>0.000018223</v>
      </c>
      <c r="D25" s="15">
        <f t="shared" si="1"/>
        <v>0</v>
      </c>
      <c r="E25" s="16">
        <f>Inputs!$B$23*Inputs!$B$22*B25</f>
        <v>0</v>
      </c>
      <c r="F25" s="12">
        <f t="shared" si="2"/>
        <v>0</v>
      </c>
      <c r="G25" s="16">
        <f>E25-Sogginess_Raw!D25</f>
        <v>0</v>
      </c>
    </row>
    <row r="26" ht="15.75" customHeight="1">
      <c r="A26" s="13">
        <f>Sogginess_Raw!A26</f>
        <v>440</v>
      </c>
      <c r="B26" s="16">
        <f>Sogginess_Raw!B26</f>
        <v>0</v>
      </c>
      <c r="C26" s="16">
        <f>Sogginess_Raw!C26</f>
        <v>0.000018223</v>
      </c>
      <c r="D26" s="15">
        <f t="shared" si="1"/>
        <v>0</v>
      </c>
      <c r="E26" s="16">
        <f>Inputs!$B$23*Inputs!$B$22*B26</f>
        <v>0</v>
      </c>
      <c r="F26" s="12">
        <f t="shared" si="2"/>
        <v>0</v>
      </c>
      <c r="G26" s="16">
        <f>E26-Sogginess_Raw!D26</f>
        <v>0</v>
      </c>
    </row>
    <row r="27" ht="15.75" customHeight="1">
      <c r="A27" s="13">
        <f>Sogginess_Raw!A27</f>
        <v>460</v>
      </c>
      <c r="B27" s="16">
        <f>Sogginess_Raw!B27</f>
        <v>0</v>
      </c>
      <c r="C27" s="16">
        <f>Sogginess_Raw!C27</f>
        <v>0.000018223</v>
      </c>
      <c r="D27" s="15">
        <f t="shared" si="1"/>
        <v>0</v>
      </c>
      <c r="E27" s="16">
        <f>Inputs!$B$23*Inputs!$B$22*B27</f>
        <v>0</v>
      </c>
      <c r="F27" s="12">
        <f t="shared" si="2"/>
        <v>0</v>
      </c>
      <c r="G27" s="16">
        <f>E27-Sogginess_Raw!D27</f>
        <v>0</v>
      </c>
    </row>
    <row r="28" ht="15.75" customHeight="1">
      <c r="A28" s="13">
        <f>Sogginess_Raw!A28</f>
        <v>480</v>
      </c>
      <c r="B28" s="16">
        <f>Sogginess_Raw!B28</f>
        <v>0</v>
      </c>
      <c r="C28" s="16">
        <f>Sogginess_Raw!C28</f>
        <v>0.000018223</v>
      </c>
      <c r="D28" s="15">
        <f t="shared" si="1"/>
        <v>0</v>
      </c>
      <c r="E28" s="16">
        <f>Inputs!$B$23*Inputs!$B$22*B28</f>
        <v>0</v>
      </c>
      <c r="F28" s="12">
        <f t="shared" si="2"/>
        <v>0</v>
      </c>
      <c r="G28" s="16">
        <f>E28-Sogginess_Raw!D28</f>
        <v>0</v>
      </c>
    </row>
    <row r="29" ht="15.75" customHeight="1">
      <c r="A29" s="13">
        <f>Sogginess_Raw!A29</f>
        <v>500</v>
      </c>
      <c r="B29" s="16">
        <f>Sogginess_Raw!B29</f>
        <v>0</v>
      </c>
      <c r="C29" s="16">
        <f>Sogginess_Raw!C29</f>
        <v>0.000018223</v>
      </c>
      <c r="D29" s="15">
        <f t="shared" si="1"/>
        <v>0</v>
      </c>
      <c r="E29" s="16">
        <f>Inputs!$B$23*Inputs!$B$22*B29</f>
        <v>0</v>
      </c>
      <c r="F29" s="12">
        <f t="shared" si="2"/>
        <v>0</v>
      </c>
      <c r="G29" s="16">
        <f>E29-Sogginess_Raw!D29</f>
        <v>0</v>
      </c>
    </row>
    <row r="30" ht="15.75" customHeight="1">
      <c r="A30" s="13">
        <f>Sogginess_Raw!A30</f>
        <v>520</v>
      </c>
      <c r="B30" s="16">
        <f>Sogginess_Raw!B30</f>
        <v>0</v>
      </c>
      <c r="C30" s="16">
        <f>Sogginess_Raw!C30</f>
        <v>0.000018223</v>
      </c>
      <c r="D30" s="15">
        <f t="shared" si="1"/>
        <v>0</v>
      </c>
      <c r="E30" s="16">
        <f>Inputs!$B$23*Inputs!$B$22*B30</f>
        <v>0</v>
      </c>
      <c r="F30" s="12">
        <f t="shared" si="2"/>
        <v>0</v>
      </c>
      <c r="G30" s="16">
        <f>E30-Sogginess_Raw!D30</f>
        <v>0</v>
      </c>
    </row>
    <row r="31" ht="15.75" customHeight="1">
      <c r="A31" s="13">
        <f>Sogginess_Raw!A31</f>
        <v>540</v>
      </c>
      <c r="B31" s="16">
        <f>Sogginess_Raw!B31</f>
        <v>0</v>
      </c>
      <c r="C31" s="16">
        <f>Sogginess_Raw!C31</f>
        <v>0.000018223</v>
      </c>
      <c r="D31" s="15">
        <f t="shared" si="1"/>
        <v>0</v>
      </c>
      <c r="E31" s="16">
        <f>Inputs!$B$23*Inputs!$B$22*B31</f>
        <v>0</v>
      </c>
      <c r="F31" s="12">
        <f t="shared" si="2"/>
        <v>0</v>
      </c>
      <c r="G31" s="16">
        <f>E31-Sogginess_Raw!D31</f>
        <v>0</v>
      </c>
    </row>
    <row r="32" ht="15.75" customHeight="1">
      <c r="A32" s="13">
        <f>Sogginess_Raw!A32</f>
        <v>560</v>
      </c>
      <c r="B32" s="16">
        <f>Sogginess_Raw!B32</f>
        <v>0</v>
      </c>
      <c r="C32" s="16">
        <f>Sogginess_Raw!C32</f>
        <v>0.000018223</v>
      </c>
      <c r="D32" s="15">
        <f t="shared" si="1"/>
        <v>0</v>
      </c>
      <c r="E32" s="16">
        <f>Inputs!$B$23*Inputs!$B$22*B32</f>
        <v>0</v>
      </c>
      <c r="F32" s="12">
        <f t="shared" si="2"/>
        <v>0</v>
      </c>
      <c r="G32" s="16">
        <f>E32-Sogginess_Raw!D32</f>
        <v>0</v>
      </c>
    </row>
    <row r="33" ht="15.75" customHeight="1">
      <c r="A33" s="13">
        <f>Sogginess_Raw!A33</f>
        <v>580</v>
      </c>
      <c r="B33" s="16">
        <f>Sogginess_Raw!B33</f>
        <v>0</v>
      </c>
      <c r="C33" s="16">
        <f>Sogginess_Raw!C33</f>
        <v>0.000018223</v>
      </c>
      <c r="D33" s="15">
        <f t="shared" si="1"/>
        <v>0</v>
      </c>
      <c r="E33" s="16">
        <f>Inputs!$B$23*Inputs!$B$22*B33</f>
        <v>0</v>
      </c>
      <c r="F33" s="12">
        <f t="shared" si="2"/>
        <v>0</v>
      </c>
      <c r="G33" s="16">
        <f>E33-Sogginess_Raw!D33</f>
        <v>0</v>
      </c>
    </row>
    <row r="34" ht="15.75" customHeight="1">
      <c r="A34" s="13">
        <f>Sogginess_Raw!A34</f>
        <v>600</v>
      </c>
      <c r="B34" s="16">
        <f>Sogginess_Raw!B34</f>
        <v>0</v>
      </c>
      <c r="C34" s="16">
        <f>Sogginess_Raw!C34</f>
        <v>0.000018223</v>
      </c>
      <c r="D34" s="15">
        <f t="shared" si="1"/>
        <v>0</v>
      </c>
      <c r="E34" s="16">
        <f>Inputs!$B$23*Inputs!$B$22*B34</f>
        <v>0</v>
      </c>
      <c r="F34" s="12">
        <f t="shared" si="2"/>
        <v>0</v>
      </c>
      <c r="G34" s="16">
        <f>E34-Sogginess_Raw!D34</f>
        <v>0</v>
      </c>
    </row>
    <row r="35" ht="15.75" customHeight="1">
      <c r="A35" s="13">
        <f>Sogginess_Raw!A35</f>
        <v>620</v>
      </c>
      <c r="B35" s="16">
        <f>Sogginess_Raw!B35</f>
        <v>0</v>
      </c>
      <c r="C35" s="16">
        <f>Sogginess_Raw!C35</f>
        <v>0.000018223</v>
      </c>
      <c r="D35" s="15">
        <f t="shared" si="1"/>
        <v>0</v>
      </c>
      <c r="E35" s="16">
        <f>Inputs!$B$23*Inputs!$B$22*B35</f>
        <v>0</v>
      </c>
      <c r="F35" s="12">
        <f t="shared" si="2"/>
        <v>0</v>
      </c>
      <c r="G35" s="16">
        <f>E35-Sogginess_Raw!D35</f>
        <v>0</v>
      </c>
    </row>
    <row r="36" ht="15.75" customHeight="1">
      <c r="A36" s="13">
        <f>Sogginess_Raw!A36</f>
        <v>640</v>
      </c>
      <c r="B36" s="16">
        <f>Sogginess_Raw!B36</f>
        <v>0</v>
      </c>
      <c r="C36" s="16">
        <f>Sogginess_Raw!C36</f>
        <v>0.000018223</v>
      </c>
      <c r="D36" s="15">
        <f t="shared" si="1"/>
        <v>0</v>
      </c>
      <c r="E36" s="16">
        <f>Inputs!$B$23*Inputs!$B$22*B36</f>
        <v>0</v>
      </c>
      <c r="F36" s="12">
        <f t="shared" si="2"/>
        <v>0</v>
      </c>
      <c r="G36" s="16">
        <f>E36-Sogginess_Raw!D36</f>
        <v>0</v>
      </c>
    </row>
    <row r="37" ht="15.75" customHeight="1">
      <c r="A37" s="13">
        <f>Sogginess_Raw!A37</f>
        <v>660</v>
      </c>
      <c r="B37" s="16">
        <f>Sogginess_Raw!B37</f>
        <v>0</v>
      </c>
      <c r="C37" s="16">
        <f>Sogginess_Raw!C37</f>
        <v>0.000018223</v>
      </c>
      <c r="D37" s="15">
        <f t="shared" si="1"/>
        <v>0</v>
      </c>
      <c r="E37" s="16">
        <f>Inputs!$B$23*Inputs!$B$22*B37</f>
        <v>0</v>
      </c>
      <c r="F37" s="12">
        <f t="shared" si="2"/>
        <v>0</v>
      </c>
      <c r="G37" s="16">
        <f>E37-Sogginess_Raw!D37</f>
        <v>0</v>
      </c>
    </row>
    <row r="38" ht="15.75" customHeight="1">
      <c r="A38" s="13">
        <f>Sogginess_Raw!A38</f>
        <v>680</v>
      </c>
      <c r="B38" s="16">
        <f>Sogginess_Raw!B38</f>
        <v>0</v>
      </c>
      <c r="C38" s="16">
        <f>Sogginess_Raw!C38</f>
        <v>0.000018223</v>
      </c>
      <c r="D38" s="15">
        <f t="shared" si="1"/>
        <v>0</v>
      </c>
      <c r="E38" s="16">
        <f>Inputs!$B$23*Inputs!$B$22*B38</f>
        <v>0</v>
      </c>
      <c r="F38" s="12">
        <f t="shared" si="2"/>
        <v>0</v>
      </c>
      <c r="G38" s="16">
        <f>E38-Sogginess_Raw!D38</f>
        <v>0</v>
      </c>
    </row>
    <row r="39" ht="15.75" customHeight="1">
      <c r="A39" s="13">
        <f>Sogginess_Raw!A39</f>
        <v>700</v>
      </c>
      <c r="B39" s="16">
        <f>Sogginess_Raw!B39</f>
        <v>0</v>
      </c>
      <c r="C39" s="16">
        <f>Sogginess_Raw!C39</f>
        <v>0.000018223</v>
      </c>
      <c r="D39" s="15">
        <f t="shared" si="1"/>
        <v>0</v>
      </c>
      <c r="E39" s="16">
        <f>Inputs!$B$23*Inputs!$B$22*B39</f>
        <v>0</v>
      </c>
      <c r="F39" s="12">
        <f t="shared" si="2"/>
        <v>0</v>
      </c>
      <c r="G39" s="16">
        <f>E39-Sogginess_Raw!D39</f>
        <v>0</v>
      </c>
    </row>
    <row r="40" ht="15.75" customHeight="1">
      <c r="A40" s="13">
        <f>Sogginess_Raw!A40</f>
        <v>720</v>
      </c>
      <c r="B40" s="16">
        <f>Sogginess_Raw!B40</f>
        <v>0</v>
      </c>
      <c r="C40" s="16">
        <f>Sogginess_Raw!C40</f>
        <v>0.000018223</v>
      </c>
      <c r="D40" s="15">
        <f t="shared" si="1"/>
        <v>0</v>
      </c>
      <c r="E40" s="16">
        <f>Inputs!$B$23*Inputs!$B$22*B40</f>
        <v>0</v>
      </c>
      <c r="F40" s="12">
        <f t="shared" si="2"/>
        <v>0</v>
      </c>
      <c r="G40" s="16">
        <f>E40-Sogginess_Raw!D40</f>
        <v>0</v>
      </c>
    </row>
    <row r="41" ht="15.75" customHeight="1">
      <c r="A41" s="13">
        <f>Sogginess_Raw!A41</f>
        <v>740</v>
      </c>
      <c r="B41" s="16">
        <f>Sogginess_Raw!B41</f>
        <v>0.000001399</v>
      </c>
      <c r="C41" s="16">
        <f>Sogginess_Raw!C41</f>
        <v>0.000018223</v>
      </c>
      <c r="D41" s="15">
        <f t="shared" si="1"/>
        <v>0.07677111343</v>
      </c>
      <c r="E41" s="16">
        <f>Inputs!$B$23*Inputs!$B$22*B41</f>
        <v>0.0005596</v>
      </c>
      <c r="F41" s="12">
        <f t="shared" si="2"/>
        <v>0.5596</v>
      </c>
      <c r="G41" s="16">
        <f>E41-Sogginess_Raw!D41</f>
        <v>-0.00000001</v>
      </c>
    </row>
    <row r="42" ht="15.75" customHeight="1">
      <c r="A42" s="13">
        <f>Sogginess_Raw!A42</f>
        <v>760</v>
      </c>
      <c r="B42" s="16">
        <f>Sogginess_Raw!B42</f>
        <v>0.0000014631</v>
      </c>
      <c r="C42" s="16">
        <f>Sogginess_Raw!C42</f>
        <v>0.000018223</v>
      </c>
      <c r="D42" s="15">
        <f t="shared" si="1"/>
        <v>0.08028864622</v>
      </c>
      <c r="E42" s="16">
        <f>Inputs!$B$23*Inputs!$B$22*B42</f>
        <v>0.00058524</v>
      </c>
      <c r="F42" s="12">
        <f t="shared" si="2"/>
        <v>0.58524</v>
      </c>
      <c r="G42" s="16">
        <f>E42-Sogginess_Raw!D42</f>
        <v>0</v>
      </c>
    </row>
    <row r="43" ht="15.75" customHeight="1">
      <c r="A43" s="13">
        <f>Sogginess_Raw!A43</f>
        <v>780</v>
      </c>
      <c r="B43" s="16">
        <f>Sogginess_Raw!B43</f>
        <v>0.0000014836</v>
      </c>
      <c r="C43" s="16">
        <f>Sogginess_Raw!C43</f>
        <v>0.000018223</v>
      </c>
      <c r="D43" s="15">
        <f t="shared" si="1"/>
        <v>0.0814135982</v>
      </c>
      <c r="E43" s="16">
        <f>Inputs!$B$23*Inputs!$B$22*B43</f>
        <v>0.00059344</v>
      </c>
      <c r="F43" s="12">
        <f t="shared" si="2"/>
        <v>0.59344</v>
      </c>
      <c r="G43" s="16">
        <f>E43-Sogginess_Raw!D43</f>
        <v>0.00000001</v>
      </c>
    </row>
    <row r="44" ht="15.75" customHeight="1">
      <c r="A44" s="13">
        <f>Sogginess_Raw!A44</f>
        <v>800</v>
      </c>
      <c r="B44" s="16">
        <f>Sogginess_Raw!B44</f>
        <v>0.0000015038</v>
      </c>
      <c r="C44" s="16">
        <f>Sogginess_Raw!C44</f>
        <v>0.000018223</v>
      </c>
      <c r="D44" s="15">
        <f t="shared" si="1"/>
        <v>0.08252208747</v>
      </c>
      <c r="E44" s="16">
        <f>Inputs!$B$23*Inputs!$B$22*B44</f>
        <v>0.00060152</v>
      </c>
      <c r="F44" s="12">
        <f t="shared" si="2"/>
        <v>0.60152</v>
      </c>
      <c r="G44" s="16">
        <f>E44-Sogginess_Raw!D44</f>
        <v>-0.00000001</v>
      </c>
    </row>
    <row r="45" ht="15.75" customHeight="1">
      <c r="A45" s="13">
        <f>Sogginess_Raw!A45</f>
        <v>820</v>
      </c>
      <c r="B45" s="16">
        <f>Sogginess_Raw!B45</f>
        <v>0.0000015238</v>
      </c>
      <c r="C45" s="16">
        <f>Sogginess_Raw!C45</f>
        <v>0.000018223</v>
      </c>
      <c r="D45" s="15">
        <f t="shared" si="1"/>
        <v>0.0836196016</v>
      </c>
      <c r="E45" s="16">
        <f>Inputs!$B$23*Inputs!$B$22*B45</f>
        <v>0.00060952</v>
      </c>
      <c r="F45" s="12">
        <f t="shared" si="2"/>
        <v>0.60952</v>
      </c>
      <c r="G45" s="16">
        <f>E45-Sogginess_Raw!D45</f>
        <v>-0.00000002</v>
      </c>
    </row>
    <row r="46" ht="15.75" customHeight="1">
      <c r="A46" s="13">
        <f>Sogginess_Raw!A46</f>
        <v>840</v>
      </c>
      <c r="B46" s="16">
        <f>Sogginess_Raw!B46</f>
        <v>0.0000015437</v>
      </c>
      <c r="C46" s="16">
        <f>Sogginess_Raw!C46</f>
        <v>0.000018223</v>
      </c>
      <c r="D46" s="15">
        <f t="shared" si="1"/>
        <v>0.08471162816</v>
      </c>
      <c r="E46" s="16">
        <f>Inputs!$B$23*Inputs!$B$22*B46</f>
        <v>0.00061748</v>
      </c>
      <c r="F46" s="12">
        <f t="shared" si="2"/>
        <v>0.61748</v>
      </c>
      <c r="G46" s="16">
        <f>E46-Sogginess_Raw!D46</f>
        <v>0.00000001</v>
      </c>
    </row>
    <row r="47" ht="15.75" customHeight="1">
      <c r="A47" s="13">
        <f>Sogginess_Raw!A47</f>
        <v>860</v>
      </c>
      <c r="B47" s="16">
        <f>Sogginess_Raw!B47</f>
        <v>0.0000015633</v>
      </c>
      <c r="C47" s="16">
        <f>Sogginess_Raw!C47</f>
        <v>0.000018223</v>
      </c>
      <c r="D47" s="15">
        <f t="shared" si="1"/>
        <v>0.08578719201</v>
      </c>
      <c r="E47" s="16">
        <f>Inputs!$B$23*Inputs!$B$22*B47</f>
        <v>0.00062532</v>
      </c>
      <c r="F47" s="12">
        <f t="shared" si="2"/>
        <v>0.62532</v>
      </c>
      <c r="G47" s="16">
        <f>E47-Sogginess_Raw!D47</f>
        <v>-0.00000001</v>
      </c>
    </row>
    <row r="48" ht="15.75" customHeight="1">
      <c r="A48" s="13">
        <f>Sogginess_Raw!A48</f>
        <v>880</v>
      </c>
      <c r="B48" s="16">
        <f>Sogginess_Raw!B48</f>
        <v>0.0000015828</v>
      </c>
      <c r="C48" s="16">
        <f>Sogginess_Raw!C48</f>
        <v>0.000018223</v>
      </c>
      <c r="D48" s="15">
        <f t="shared" si="1"/>
        <v>0.08685726829</v>
      </c>
      <c r="E48" s="16">
        <f>Inputs!$B$23*Inputs!$B$22*B48</f>
        <v>0.00063312</v>
      </c>
      <c r="F48" s="12">
        <f t="shared" si="2"/>
        <v>0.63312</v>
      </c>
      <c r="G48" s="16">
        <f>E48-Sogginess_Raw!D48</f>
        <v>0.00000001</v>
      </c>
    </row>
    <row r="49" ht="15.75" customHeight="1">
      <c r="A49" s="13">
        <f>Sogginess_Raw!A49</f>
        <v>900</v>
      </c>
      <c r="B49" s="16">
        <f>Sogginess_Raw!B49</f>
        <v>0.000001602</v>
      </c>
      <c r="C49" s="16">
        <f>Sogginess_Raw!C49</f>
        <v>0.000018223</v>
      </c>
      <c r="D49" s="15">
        <f t="shared" si="1"/>
        <v>0.08791088185</v>
      </c>
      <c r="E49" s="16">
        <f>Inputs!$B$23*Inputs!$B$22*B49</f>
        <v>0.0006408</v>
      </c>
      <c r="F49" s="12">
        <f t="shared" si="2"/>
        <v>0.6408</v>
      </c>
      <c r="G49" s="16">
        <f>E49-Sogginess_Raw!D49</f>
        <v>-0.00000001</v>
      </c>
    </row>
    <row r="50" ht="15.75" customHeight="1">
      <c r="A50" s="13">
        <f>Sogginess_Raw!A50</f>
        <v>920</v>
      </c>
      <c r="B50" s="16">
        <f>Sogginess_Raw!B50</f>
        <v>0.0000016211</v>
      </c>
      <c r="C50" s="16">
        <f>Sogginess_Raw!C50</f>
        <v>0.000018223</v>
      </c>
      <c r="D50" s="15">
        <f t="shared" si="1"/>
        <v>0.08895900785</v>
      </c>
      <c r="E50" s="16">
        <f>Inputs!$B$23*Inputs!$B$22*B50</f>
        <v>0.00064844</v>
      </c>
      <c r="F50" s="12">
        <f t="shared" si="2"/>
        <v>0.64844</v>
      </c>
      <c r="G50" s="16">
        <f>E50-Sogginess_Raw!D50</f>
        <v>0</v>
      </c>
    </row>
    <row r="51" ht="15.75" customHeight="1">
      <c r="A51" s="13">
        <f>Sogginess_Raw!A51</f>
        <v>940</v>
      </c>
      <c r="B51" s="16">
        <f>Sogginess_Raw!B51</f>
        <v>0.00000164</v>
      </c>
      <c r="C51" s="16">
        <f>Sogginess_Raw!C51</f>
        <v>0.000018223</v>
      </c>
      <c r="D51" s="15">
        <f t="shared" si="1"/>
        <v>0.0899961587</v>
      </c>
      <c r="E51" s="16">
        <f>Inputs!$B$23*Inputs!$B$22*B51</f>
        <v>0.000656</v>
      </c>
      <c r="F51" s="12">
        <f t="shared" si="2"/>
        <v>0.656</v>
      </c>
      <c r="G51" s="16">
        <f>E51-Sogginess_Raw!D51</f>
        <v>0.00000001</v>
      </c>
    </row>
    <row r="52" ht="15.75" customHeight="1">
      <c r="A52" s="13">
        <f>Sogginess_Raw!A52</f>
        <v>960</v>
      </c>
      <c r="B52" s="16">
        <f>Sogginess_Raw!B52</f>
        <v>0.0000016586</v>
      </c>
      <c r="C52" s="16">
        <f>Sogginess_Raw!C52</f>
        <v>0.000018223</v>
      </c>
      <c r="D52" s="15">
        <f t="shared" si="1"/>
        <v>0.09101684684</v>
      </c>
      <c r="E52" s="16">
        <f>Inputs!$B$23*Inputs!$B$22*B52</f>
        <v>0.00066344</v>
      </c>
      <c r="F52" s="12">
        <f t="shared" si="2"/>
        <v>0.66344</v>
      </c>
      <c r="G52" s="16">
        <f>E52-Sogginess_Raw!D52</f>
        <v>-0.00000002</v>
      </c>
    </row>
    <row r="53" ht="15.75" customHeight="1">
      <c r="A53" s="13">
        <f>Sogginess_Raw!A53</f>
        <v>980</v>
      </c>
      <c r="B53" s="16">
        <f>Sogginess_Raw!B53</f>
        <v>0.0000016772</v>
      </c>
      <c r="C53" s="16">
        <f>Sogginess_Raw!C53</f>
        <v>0.000018223</v>
      </c>
      <c r="D53" s="15">
        <f t="shared" si="1"/>
        <v>0.09203753498</v>
      </c>
      <c r="E53" s="16">
        <f>Inputs!$B$23*Inputs!$B$22*B53</f>
        <v>0.00067088</v>
      </c>
      <c r="F53" s="12">
        <f t="shared" si="2"/>
        <v>0.67088</v>
      </c>
      <c r="G53" s="16">
        <f>E53-Sogginess_Raw!D53</f>
        <v>0.00000002</v>
      </c>
    </row>
    <row r="54" ht="15.75" customHeight="1">
      <c r="A54" s="13">
        <f>Sogginess_Raw!A54</f>
        <v>1000</v>
      </c>
      <c r="B54" s="16">
        <f>Sogginess_Raw!B54</f>
        <v>0.0000016955</v>
      </c>
      <c r="C54" s="16">
        <f>Sogginess_Raw!C54</f>
        <v>0.000018223</v>
      </c>
      <c r="D54" s="15">
        <f t="shared" si="1"/>
        <v>0.09304176041</v>
      </c>
      <c r="E54" s="16">
        <f>Inputs!$B$23*Inputs!$B$22*B54</f>
        <v>0.0006782</v>
      </c>
      <c r="F54" s="12">
        <f t="shared" si="2"/>
        <v>0.6782</v>
      </c>
      <c r="G54" s="16">
        <f>E54-Sogginess_Raw!D54</f>
        <v>-0.00000001</v>
      </c>
    </row>
    <row r="55" ht="15.75" customHeight="1">
      <c r="A55" s="13">
        <f>Sogginess_Raw!A55</f>
        <v>1020</v>
      </c>
      <c r="B55" s="16">
        <f>Sogginess_Raw!B55</f>
        <v>0.0000017137</v>
      </c>
      <c r="C55" s="16">
        <f>Sogginess_Raw!C55</f>
        <v>0.000018223</v>
      </c>
      <c r="D55" s="15">
        <f t="shared" si="1"/>
        <v>0.09404049827</v>
      </c>
      <c r="E55" s="16">
        <f>Inputs!$B$23*Inputs!$B$22*B55</f>
        <v>0.00068548</v>
      </c>
      <c r="F55" s="12">
        <f t="shared" si="2"/>
        <v>0.68548</v>
      </c>
      <c r="G55" s="16">
        <f>E55-Sogginess_Raw!D55</f>
        <v>0</v>
      </c>
    </row>
    <row r="56" ht="15.75" customHeight="1">
      <c r="A56" s="13">
        <f>Sogginess_Raw!A56</f>
        <v>1040</v>
      </c>
      <c r="B56" s="16">
        <f>Sogginess_Raw!B56</f>
        <v>0.0000017317</v>
      </c>
      <c r="C56" s="16">
        <f>Sogginess_Raw!C56</f>
        <v>0.000018223</v>
      </c>
      <c r="D56" s="15">
        <f t="shared" si="1"/>
        <v>0.09502826099</v>
      </c>
      <c r="E56" s="16">
        <f>Inputs!$B$23*Inputs!$B$22*B56</f>
        <v>0.00069268</v>
      </c>
      <c r="F56" s="12">
        <f t="shared" si="2"/>
        <v>0.69268</v>
      </c>
      <c r="G56" s="16">
        <f>E56-Sogginess_Raw!D56</f>
        <v>0</v>
      </c>
    </row>
    <row r="57" ht="15.75" customHeight="1">
      <c r="A57" s="13">
        <f>Sogginess_Raw!A57</f>
        <v>1060</v>
      </c>
      <c r="B57" s="16">
        <f>Sogginess_Raw!B57</f>
        <v>0.0000017496</v>
      </c>
      <c r="C57" s="16">
        <f>Sogginess_Raw!C57</f>
        <v>0.000018223</v>
      </c>
      <c r="D57" s="15">
        <f t="shared" si="1"/>
        <v>0.09601053614</v>
      </c>
      <c r="E57" s="16">
        <f>Inputs!$B$23*Inputs!$B$22*B57</f>
        <v>0.00069984</v>
      </c>
      <c r="F57" s="12">
        <f t="shared" si="2"/>
        <v>0.69984</v>
      </c>
      <c r="G57" s="16">
        <f>E57-Sogginess_Raw!D57</f>
        <v>0.00000001</v>
      </c>
    </row>
    <row r="58" ht="15.75" customHeight="1">
      <c r="A58" s="13">
        <f>Sogginess_Raw!A58</f>
        <v>1080</v>
      </c>
      <c r="B58" s="16">
        <f>Sogginess_Raw!B58</f>
        <v>0.0000017673</v>
      </c>
      <c r="C58" s="16">
        <f>Sogginess_Raw!C58</f>
        <v>0.000018223</v>
      </c>
      <c r="D58" s="15">
        <f t="shared" si="1"/>
        <v>0.09698183614</v>
      </c>
      <c r="E58" s="16">
        <f>Inputs!$B$23*Inputs!$B$22*B58</f>
        <v>0.00070692</v>
      </c>
      <c r="F58" s="12">
        <f t="shared" si="2"/>
        <v>0.70692</v>
      </c>
      <c r="G58" s="16">
        <f>E58-Sogginess_Raw!D58</f>
        <v>0</v>
      </c>
    </row>
    <row r="59" ht="15.75" customHeight="1">
      <c r="A59" s="13">
        <f>Sogginess_Raw!A59</f>
        <v>1100</v>
      </c>
      <c r="B59" s="16">
        <f>Sogginess_Raw!B59</f>
        <v>0.0000017849</v>
      </c>
      <c r="C59" s="16">
        <f>Sogginess_Raw!C59</f>
        <v>0.000018223</v>
      </c>
      <c r="D59" s="15">
        <f t="shared" si="1"/>
        <v>0.09794764858</v>
      </c>
      <c r="E59" s="16">
        <f>Inputs!$B$23*Inputs!$B$22*B59</f>
        <v>0.00071396</v>
      </c>
      <c r="F59" s="12">
        <f t="shared" si="2"/>
        <v>0.71396</v>
      </c>
      <c r="G59" s="16">
        <f>E59-Sogginess_Raw!D59</f>
        <v>0.00000001</v>
      </c>
    </row>
    <row r="60" ht="15.75" customHeight="1">
      <c r="A60" s="13">
        <f>Sogginess_Raw!A60</f>
        <v>1120</v>
      </c>
      <c r="B60" s="16">
        <f>Sogginess_Raw!B60</f>
        <v>0.0000018023</v>
      </c>
      <c r="C60" s="16">
        <f>Sogginess_Raw!C60</f>
        <v>0.000018223</v>
      </c>
      <c r="D60" s="15">
        <f t="shared" si="1"/>
        <v>0.09890248587</v>
      </c>
      <c r="E60" s="16">
        <f>Inputs!$B$23*Inputs!$B$22*B60</f>
        <v>0.00072092</v>
      </c>
      <c r="F60" s="12">
        <f t="shared" si="2"/>
        <v>0.72092</v>
      </c>
      <c r="G60" s="16">
        <f>E60-Sogginess_Raw!D60</f>
        <v>0</v>
      </c>
    </row>
    <row r="61" ht="15.75" customHeight="1">
      <c r="A61" s="13">
        <f>Sogginess_Raw!A61</f>
        <v>1140</v>
      </c>
      <c r="B61" s="16">
        <f>Sogginess_Raw!B61</f>
        <v>0.0000018196</v>
      </c>
      <c r="C61" s="16">
        <f>Sogginess_Raw!C61</f>
        <v>0.000018223</v>
      </c>
      <c r="D61" s="15">
        <f t="shared" si="1"/>
        <v>0.09985183559</v>
      </c>
      <c r="E61" s="16">
        <f>Inputs!$B$23*Inputs!$B$22*B61</f>
        <v>0.00072784</v>
      </c>
      <c r="F61" s="12">
        <f t="shared" si="2"/>
        <v>0.72784</v>
      </c>
      <c r="G61" s="16">
        <f>E61-Sogginess_Raw!D61</f>
        <v>0</v>
      </c>
    </row>
    <row r="62" ht="15.75" customHeight="1">
      <c r="A62" s="13">
        <f>Sogginess_Raw!A62</f>
        <v>1160</v>
      </c>
      <c r="B62" s="16">
        <f>Sogginess_Raw!B62</f>
        <v>0.0000018368</v>
      </c>
      <c r="C62" s="16">
        <f>Sogginess_Raw!C62</f>
        <v>0.000018223</v>
      </c>
      <c r="D62" s="15">
        <f t="shared" si="1"/>
        <v>0.1007956977</v>
      </c>
      <c r="E62" s="16">
        <f>Inputs!$B$23*Inputs!$B$22*B62</f>
        <v>0.00073472</v>
      </c>
      <c r="F62" s="12">
        <f t="shared" si="2"/>
        <v>0.73472</v>
      </c>
      <c r="G62" s="16">
        <f>E62-Sogginess_Raw!D62</f>
        <v>0.00000002</v>
      </c>
    </row>
    <row r="63" ht="15.75" customHeight="1">
      <c r="A63" s="13">
        <f>Sogginess_Raw!A63</f>
        <v>1180</v>
      </c>
      <c r="B63" s="16">
        <f>Sogginess_Raw!B63</f>
        <v>0.0000018538</v>
      </c>
      <c r="C63" s="16">
        <f>Sogginess_Raw!C63</f>
        <v>0.000018223</v>
      </c>
      <c r="D63" s="15">
        <f t="shared" si="1"/>
        <v>0.1017285848</v>
      </c>
      <c r="E63" s="16">
        <f>Inputs!$B$23*Inputs!$B$22*B63</f>
        <v>0.00074152</v>
      </c>
      <c r="F63" s="12">
        <f t="shared" si="2"/>
        <v>0.74152</v>
      </c>
      <c r="G63" s="16">
        <f>E63-Sogginess_Raw!D63</f>
        <v>0</v>
      </c>
    </row>
    <row r="64" ht="15.75" customHeight="1">
      <c r="A64" s="13">
        <f>Sogginess_Raw!A64</f>
        <v>1200</v>
      </c>
      <c r="B64" s="16">
        <f>Sogginess_Raw!B64</f>
        <v>0.0000018707</v>
      </c>
      <c r="C64" s="16">
        <f>Sogginess_Raw!C64</f>
        <v>0.000018223</v>
      </c>
      <c r="D64" s="15">
        <f t="shared" si="1"/>
        <v>0.1026559842</v>
      </c>
      <c r="E64" s="16">
        <f>Inputs!$B$23*Inputs!$B$22*B64</f>
        <v>0.00074828</v>
      </c>
      <c r="F64" s="12">
        <f t="shared" si="2"/>
        <v>0.74828</v>
      </c>
      <c r="G64" s="16">
        <f>E64-Sogginess_Raw!D64</f>
        <v>0.00000001</v>
      </c>
    </row>
    <row r="65" ht="15.75" customHeight="1">
      <c r="A65" s="13">
        <f>Sogginess_Raw!A65</f>
        <v>1220</v>
      </c>
      <c r="B65" s="16">
        <f>Sogginess_Raw!B65</f>
        <v>0.0000018875</v>
      </c>
      <c r="C65" s="16">
        <f>Sogginess_Raw!C65</f>
        <v>0.000018223</v>
      </c>
      <c r="D65" s="15">
        <f t="shared" si="1"/>
        <v>0.1035778961</v>
      </c>
      <c r="E65" s="16">
        <f>Inputs!$B$23*Inputs!$B$22*B65</f>
        <v>0.000755</v>
      </c>
      <c r="F65" s="12">
        <f t="shared" si="2"/>
        <v>0.755</v>
      </c>
      <c r="G65" s="16">
        <f>E65-Sogginess_Raw!D65</f>
        <v>0.00000001</v>
      </c>
    </row>
    <row r="66" ht="15.75" customHeight="1">
      <c r="A66" s="13">
        <f>Sogginess_Raw!A66</f>
        <v>1240</v>
      </c>
      <c r="B66" s="16">
        <f>Sogginess_Raw!B66</f>
        <v>0.0000019041</v>
      </c>
      <c r="C66" s="16">
        <f>Sogginess_Raw!C66</f>
        <v>0.000018223</v>
      </c>
      <c r="D66" s="15">
        <f t="shared" si="1"/>
        <v>0.1044888328</v>
      </c>
      <c r="E66" s="16">
        <f>Inputs!$B$23*Inputs!$B$22*B66</f>
        <v>0.00076164</v>
      </c>
      <c r="F66" s="12">
        <f t="shared" si="2"/>
        <v>0.76164</v>
      </c>
      <c r="G66" s="16">
        <f>E66-Sogginess_Raw!D66</f>
        <v>-0.00000001</v>
      </c>
    </row>
    <row r="67" ht="15.75" customHeight="1">
      <c r="A67" s="13">
        <f>Sogginess_Raw!A67</f>
        <v>1260</v>
      </c>
      <c r="B67" s="16">
        <f>Sogginess_Raw!B67</f>
        <v>0.0000019207</v>
      </c>
      <c r="C67" s="16">
        <f>Sogginess_Raw!C67</f>
        <v>0.000018223</v>
      </c>
      <c r="D67" s="15">
        <f t="shared" si="1"/>
        <v>0.1053997695</v>
      </c>
      <c r="E67" s="16">
        <f>Inputs!$B$23*Inputs!$B$22*B67</f>
        <v>0.00076828</v>
      </c>
      <c r="F67" s="12">
        <f t="shared" si="2"/>
        <v>0.76828</v>
      </c>
      <c r="G67" s="16">
        <f>E67-Sogginess_Raw!D67</f>
        <v>0.00000001</v>
      </c>
    </row>
    <row r="68" ht="15.75" customHeight="1">
      <c r="A68" s="13">
        <f>Sogginess_Raw!A68</f>
        <v>1280</v>
      </c>
      <c r="B68" s="16">
        <f>Sogginess_Raw!B68</f>
        <v>0.0000019371</v>
      </c>
      <c r="C68" s="16">
        <f>Sogginess_Raw!C68</f>
        <v>0.000018223</v>
      </c>
      <c r="D68" s="15">
        <f t="shared" si="1"/>
        <v>0.1062997311</v>
      </c>
      <c r="E68" s="16">
        <f>Inputs!$B$23*Inputs!$B$22*B68</f>
        <v>0.00077484</v>
      </c>
      <c r="F68" s="12">
        <f t="shared" si="2"/>
        <v>0.77484</v>
      </c>
      <c r="G68" s="16">
        <f>E68-Sogginess_Raw!D68</f>
        <v>0</v>
      </c>
    </row>
    <row r="69" ht="15.75" customHeight="1">
      <c r="A69" s="13">
        <f>Sogginess_Raw!A69</f>
        <v>1300</v>
      </c>
      <c r="B69" s="16">
        <f>Sogginess_Raw!B69</f>
        <v>0.0000019534</v>
      </c>
      <c r="C69" s="16">
        <f>Sogginess_Raw!C69</f>
        <v>0.000018223</v>
      </c>
      <c r="D69" s="15">
        <f t="shared" si="1"/>
        <v>0.1071942051</v>
      </c>
      <c r="E69" s="16">
        <f>Inputs!$B$23*Inputs!$B$22*B69</f>
        <v>0.00078136</v>
      </c>
      <c r="F69" s="12">
        <f t="shared" si="2"/>
        <v>0.78136</v>
      </c>
      <c r="G69" s="16">
        <f>E69-Sogginess_Raw!D69</f>
        <v>-0.00000002</v>
      </c>
    </row>
    <row r="70" ht="15.75" customHeight="1">
      <c r="A70" s="13">
        <f>Sogginess_Raw!A70</f>
        <v>1320</v>
      </c>
      <c r="B70" s="16">
        <f>Sogginess_Raw!B70</f>
        <v>0.0000019697</v>
      </c>
      <c r="C70" s="16">
        <f>Sogginess_Raw!C70</f>
        <v>0.000018223</v>
      </c>
      <c r="D70" s="15">
        <f t="shared" si="1"/>
        <v>0.1080886791</v>
      </c>
      <c r="E70" s="16">
        <f>Inputs!$B$23*Inputs!$B$22*B70</f>
        <v>0.00078788</v>
      </c>
      <c r="F70" s="12">
        <f t="shared" si="2"/>
        <v>0.78788</v>
      </c>
      <c r="G70" s="16">
        <f>E70-Sogginess_Raw!D70</f>
        <v>0.00000001</v>
      </c>
    </row>
    <row r="71" ht="15.75" customHeight="1">
      <c r="A71" s="13">
        <f>Sogginess_Raw!A71</f>
        <v>1340</v>
      </c>
      <c r="B71" s="16">
        <f>Sogginess_Raw!B71</f>
        <v>0.000001985</v>
      </c>
      <c r="C71" s="16">
        <f>Sogginess_Raw!C71</f>
        <v>0.000018223</v>
      </c>
      <c r="D71" s="15">
        <f t="shared" si="1"/>
        <v>0.1089282775</v>
      </c>
      <c r="E71" s="16">
        <f>Inputs!$B$23*Inputs!$B$22*B71</f>
        <v>0.000794</v>
      </c>
      <c r="F71" s="12">
        <f t="shared" si="2"/>
        <v>0.794</v>
      </c>
      <c r="G71" s="16">
        <f>E71-Sogginess_Raw!D71</f>
        <v>-0.00000032</v>
      </c>
    </row>
    <row r="72" ht="15.75" customHeight="1">
      <c r="A72" s="13">
        <f>Sogginess_Raw!A72</f>
        <v>1360</v>
      </c>
      <c r="B72" s="16">
        <f>Sogginess_Raw!B72</f>
        <v>0.0000020018</v>
      </c>
      <c r="C72" s="16">
        <f>Sogginess_Raw!C72</f>
        <v>0.000018223</v>
      </c>
      <c r="D72" s="17">
        <f t="shared" si="1"/>
        <v>0.1098501893</v>
      </c>
      <c r="E72" s="16">
        <f>Inputs!$B$23*Inputs!$B$22*B72</f>
        <v>0.00080072</v>
      </c>
      <c r="F72" s="12">
        <f t="shared" si="2"/>
        <v>0.80072</v>
      </c>
      <c r="G72" s="16">
        <f>E72-Sogginess_Raw!D72</f>
        <v>-0.00000001</v>
      </c>
    </row>
    <row r="73" ht="15.75" customHeight="1">
      <c r="A73" s="13">
        <f>Sogginess_Raw!A73</f>
        <v>1380</v>
      </c>
      <c r="B73" s="16">
        <f>Sogginess_Raw!B73</f>
        <v>0.0000020178</v>
      </c>
      <c r="C73" s="16">
        <f>Sogginess_Raw!C73</f>
        <v>0.000018223</v>
      </c>
      <c r="D73" s="17">
        <f t="shared" si="1"/>
        <v>0.1107282006</v>
      </c>
      <c r="E73" s="16">
        <f>Inputs!$B$23*Inputs!$B$22*B73</f>
        <v>0.00080712</v>
      </c>
      <c r="F73" s="12">
        <f t="shared" si="2"/>
        <v>0.80712</v>
      </c>
      <c r="G73" s="16">
        <f>E73-Sogginess_Raw!D73</f>
        <v>0.00000002</v>
      </c>
    </row>
    <row r="74" ht="15.75" customHeight="1">
      <c r="A74" s="13">
        <f>Sogginess_Raw!A74</f>
        <v>1400</v>
      </c>
      <c r="B74" s="16">
        <f>Sogginess_Raw!B74</f>
        <v>0.0000020336</v>
      </c>
      <c r="C74" s="16">
        <f>Sogginess_Raw!C74</f>
        <v>0.000018223</v>
      </c>
      <c r="D74" s="17">
        <f t="shared" si="1"/>
        <v>0.1115952368</v>
      </c>
      <c r="E74" s="16">
        <f>Inputs!$B$23*Inputs!$B$22*B74</f>
        <v>0.00081344</v>
      </c>
      <c r="F74" s="18">
        <f t="shared" si="2"/>
        <v>0.81344</v>
      </c>
      <c r="G74" s="16">
        <f>E74-Sogginess_Raw!D74</f>
        <v>0.00000001</v>
      </c>
    </row>
    <row r="75" ht="15.75" customHeight="1">
      <c r="A75" s="13">
        <f>Sogginess_Raw!A75</f>
        <v>1420</v>
      </c>
      <c r="B75" s="16">
        <f>Sogginess_Raw!B75</f>
        <v>0.0000020493</v>
      </c>
      <c r="C75" s="16">
        <f>Sogginess_Raw!C75</f>
        <v>0.000018223</v>
      </c>
      <c r="D75" s="17">
        <f t="shared" si="1"/>
        <v>0.1124567854</v>
      </c>
      <c r="E75" s="16">
        <f>Inputs!$B$23*Inputs!$B$22*B75</f>
        <v>0.00081972</v>
      </c>
      <c r="F75" s="18">
        <f t="shared" si="2"/>
        <v>0.81972</v>
      </c>
      <c r="G75" s="16">
        <f>E75-Sogginess_Raw!D75</f>
        <v>0.00000001</v>
      </c>
    </row>
    <row r="76" ht="15.75" customHeight="1">
      <c r="A76" s="13">
        <f>Sogginess_Raw!A76</f>
        <v>1440</v>
      </c>
      <c r="B76" s="16">
        <f>Sogginess_Raw!B76</f>
        <v>0.0000020649</v>
      </c>
      <c r="C76" s="16">
        <f>Sogginess_Raw!C76</f>
        <v>0.000018223</v>
      </c>
      <c r="D76" s="17">
        <f t="shared" si="1"/>
        <v>0.1133128464</v>
      </c>
      <c r="E76" s="16">
        <f>Inputs!$B$23*Inputs!$B$22*B76</f>
        <v>0.00082596</v>
      </c>
      <c r="F76" s="18">
        <f t="shared" si="2"/>
        <v>0.82596</v>
      </c>
      <c r="G76" s="16">
        <f>E76-Sogginess_Raw!D76</f>
        <v>0</v>
      </c>
    </row>
    <row r="77" ht="15.75" customHeight="1">
      <c r="A77" s="13">
        <f>Sogginess_Raw!A77</f>
        <v>1460</v>
      </c>
      <c r="B77" s="16">
        <f>Sogginess_Raw!B77</f>
        <v>0.0000020804</v>
      </c>
      <c r="C77" s="16">
        <f>Sogginess_Raw!C77</f>
        <v>0.000018223</v>
      </c>
      <c r="D77" s="17">
        <f t="shared" si="1"/>
        <v>0.1141634199</v>
      </c>
      <c r="E77" s="16">
        <f>Inputs!$B$23*Inputs!$B$22*B77</f>
        <v>0.00083216</v>
      </c>
      <c r="F77" s="18">
        <f t="shared" si="2"/>
        <v>0.83216</v>
      </c>
      <c r="G77" s="16">
        <f>E77-Sogginess_Raw!D77</f>
        <v>-0.00000002</v>
      </c>
    </row>
    <row r="78" ht="15.75" customHeight="1">
      <c r="A78" s="13">
        <f>Sogginess_Raw!A78</f>
        <v>1480</v>
      </c>
      <c r="B78" s="16">
        <f>Sogginess_Raw!B78</f>
        <v>0.0000020959</v>
      </c>
      <c r="C78" s="16">
        <f>Sogginess_Raw!C78</f>
        <v>0.000018223</v>
      </c>
      <c r="D78" s="17">
        <f t="shared" si="1"/>
        <v>0.1150139933</v>
      </c>
      <c r="E78" s="16">
        <f>Inputs!$B$23*Inputs!$B$22*B78</f>
        <v>0.00083836</v>
      </c>
      <c r="F78" s="18">
        <f t="shared" si="2"/>
        <v>0.83836</v>
      </c>
      <c r="G78" s="16">
        <f>E78-Sogginess_Raw!D78</f>
        <v>0</v>
      </c>
    </row>
    <row r="79" ht="15.75" customHeight="1">
      <c r="A79" s="13">
        <f>Sogginess_Raw!A79</f>
        <v>1500</v>
      </c>
      <c r="B79" s="16">
        <f>Sogginess_Raw!B79</f>
        <v>0.0000021113</v>
      </c>
      <c r="C79" s="16">
        <f>Sogginess_Raw!C79</f>
        <v>0.000018223</v>
      </c>
      <c r="D79" s="17">
        <f t="shared" si="1"/>
        <v>0.1158590792</v>
      </c>
      <c r="E79" s="16">
        <f>Inputs!$B$23*Inputs!$B$22*B79</f>
        <v>0.00084452</v>
      </c>
      <c r="F79" s="18">
        <f t="shared" si="2"/>
        <v>0.84452</v>
      </c>
      <c r="G79" s="16">
        <f>E79-Sogginess_Raw!D79</f>
        <v>0.00000002</v>
      </c>
    </row>
    <row r="80" ht="15.75" customHeight="1">
      <c r="A80" s="13">
        <f>Sogginess_Raw!A80</f>
        <v>1520</v>
      </c>
      <c r="B80" s="16">
        <f>Sogginess_Raw!B80</f>
        <v>0.0000021265</v>
      </c>
      <c r="C80" s="16">
        <f>Sogginess_Raw!C80</f>
        <v>0.000018223</v>
      </c>
      <c r="D80" s="17">
        <f t="shared" si="1"/>
        <v>0.1166931899</v>
      </c>
      <c r="E80" s="16">
        <f>Inputs!$B$23*Inputs!$B$22*B80</f>
        <v>0.0008506</v>
      </c>
      <c r="F80" s="18">
        <f t="shared" si="2"/>
        <v>0.8506</v>
      </c>
      <c r="G80" s="16">
        <f>E80-Sogginess_Raw!D80</f>
        <v>-0.00000001</v>
      </c>
    </row>
    <row r="81" ht="15.75" customHeight="1">
      <c r="A81" s="13">
        <f>Sogginess_Raw!A81</f>
        <v>1540</v>
      </c>
      <c r="B81" s="16">
        <f>Sogginess_Raw!B81</f>
        <v>0.0000021417</v>
      </c>
      <c r="C81" s="16">
        <f>Sogginess_Raw!C81</f>
        <v>0.000018223</v>
      </c>
      <c r="D81" s="17">
        <f t="shared" si="1"/>
        <v>0.1175273007</v>
      </c>
      <c r="E81" s="16">
        <f>Inputs!$B$23*Inputs!$B$22*B81</f>
        <v>0.00085668</v>
      </c>
      <c r="F81" s="18">
        <f t="shared" si="2"/>
        <v>0.85668</v>
      </c>
      <c r="G81" s="16">
        <f>E81-Sogginess_Raw!D81</f>
        <v>0.00000001</v>
      </c>
    </row>
    <row r="82" ht="15.75" customHeight="1">
      <c r="A82" s="13">
        <f>Sogginess_Raw!A82</f>
        <v>1560</v>
      </c>
      <c r="B82" s="16">
        <f>Sogginess_Raw!B82</f>
        <v>0.0000021568</v>
      </c>
      <c r="C82" s="16">
        <f>Sogginess_Raw!C82</f>
        <v>0.000018223</v>
      </c>
      <c r="D82" s="17">
        <f t="shared" si="1"/>
        <v>0.1183559238</v>
      </c>
      <c r="E82" s="16">
        <f>Inputs!$B$23*Inputs!$B$22*B82</f>
        <v>0.00086272</v>
      </c>
      <c r="F82" s="18">
        <f t="shared" si="2"/>
        <v>0.86272</v>
      </c>
      <c r="G82" s="16">
        <f>E82-Sogginess_Raw!D82</f>
        <v>0.00000002</v>
      </c>
    </row>
    <row r="83" ht="15.75" customHeight="1">
      <c r="A83" s="13">
        <f>Sogginess_Raw!A83</f>
        <v>1580</v>
      </c>
      <c r="B83" s="16">
        <f>Sogginess_Raw!B83</f>
        <v>0.0000021717</v>
      </c>
      <c r="C83" s="16">
        <f>Sogginess_Raw!C83</f>
        <v>0.000018223</v>
      </c>
      <c r="D83" s="17">
        <f t="shared" si="1"/>
        <v>0.1191735719</v>
      </c>
      <c r="E83" s="16">
        <f>Inputs!$B$23*Inputs!$B$22*B83</f>
        <v>0.00086868</v>
      </c>
      <c r="F83" s="18">
        <f t="shared" si="2"/>
        <v>0.86868</v>
      </c>
      <c r="G83" s="16">
        <f>E83-Sogginess_Raw!D83</f>
        <v>-0.00000001</v>
      </c>
    </row>
    <row r="84" ht="15.75" customHeight="1">
      <c r="A84" s="13">
        <f>Sogginess_Raw!A84</f>
        <v>1600</v>
      </c>
      <c r="B84" s="16">
        <f>Sogginess_Raw!B84</f>
        <v>0.0000021866</v>
      </c>
      <c r="C84" s="16">
        <f>Sogginess_Raw!C84</f>
        <v>0.000018223</v>
      </c>
      <c r="D84" s="17">
        <f t="shared" si="1"/>
        <v>0.1199912199</v>
      </c>
      <c r="E84" s="16">
        <f>Inputs!$B$23*Inputs!$B$22*B84</f>
        <v>0.00087464</v>
      </c>
      <c r="F84" s="18">
        <f t="shared" si="2"/>
        <v>0.87464</v>
      </c>
      <c r="G84" s="16">
        <f>E84-Sogginess_Raw!D84</f>
        <v>-0.00000002</v>
      </c>
    </row>
    <row r="85" ht="15.75" customHeight="1">
      <c r="A85" s="13">
        <f>Sogginess_Raw!A85</f>
        <v>1620</v>
      </c>
      <c r="B85" s="16">
        <f>Sogginess_Raw!B85</f>
        <v>0.0000022015</v>
      </c>
      <c r="C85" s="16">
        <f>Sogginess_Raw!C85</f>
        <v>0.000018223</v>
      </c>
      <c r="D85" s="17">
        <f t="shared" si="1"/>
        <v>0.1208088679</v>
      </c>
      <c r="E85" s="16">
        <f>Inputs!$B$23*Inputs!$B$22*B85</f>
        <v>0.0008806</v>
      </c>
      <c r="F85" s="18">
        <f t="shared" si="2"/>
        <v>0.8806</v>
      </c>
      <c r="G85" s="16">
        <f>E85-Sogginess_Raw!D85</f>
        <v>0</v>
      </c>
    </row>
    <row r="86" ht="15.75" customHeight="1">
      <c r="A86" s="13">
        <f>Sogginess_Raw!A86</f>
        <v>1640</v>
      </c>
      <c r="B86" s="16">
        <f>Sogginess_Raw!B86</f>
        <v>0.0000022163</v>
      </c>
      <c r="C86" s="16">
        <f>Sogginess_Raw!C86</f>
        <v>0.000018223</v>
      </c>
      <c r="D86" s="17">
        <f t="shared" si="1"/>
        <v>0.1216210284</v>
      </c>
      <c r="E86" s="16">
        <f>Inputs!$B$23*Inputs!$B$22*B86</f>
        <v>0.00088652</v>
      </c>
      <c r="F86" s="18">
        <f t="shared" si="2"/>
        <v>0.88652</v>
      </c>
      <c r="G86" s="16">
        <f>E86-Sogginess_Raw!D86</f>
        <v>0.00000002</v>
      </c>
    </row>
    <row r="87" ht="15.75" customHeight="1">
      <c r="A87" s="13">
        <f>Sogginess_Raw!A87</f>
        <v>1660</v>
      </c>
      <c r="B87" s="16">
        <f>Sogginess_Raw!B87</f>
        <v>0.0000022309</v>
      </c>
      <c r="C87" s="16">
        <f>Sogginess_Raw!C87</f>
        <v>0.000018223</v>
      </c>
      <c r="D87" s="17">
        <f t="shared" si="1"/>
        <v>0.1224222137</v>
      </c>
      <c r="E87" s="16">
        <f>Inputs!$B$23*Inputs!$B$22*B87</f>
        <v>0.00089236</v>
      </c>
      <c r="F87" s="18">
        <f t="shared" si="2"/>
        <v>0.89236</v>
      </c>
      <c r="G87" s="16">
        <f>E87-Sogginess_Raw!D87</f>
        <v>-0.00000002</v>
      </c>
    </row>
    <row r="88" ht="15.75" customHeight="1">
      <c r="A88" s="13">
        <f>Sogginess_Raw!A88</f>
        <v>1680</v>
      </c>
      <c r="B88" s="16">
        <f>Sogginess_Raw!B88</f>
        <v>0.0000022455</v>
      </c>
      <c r="C88" s="16">
        <f>Sogginess_Raw!C88</f>
        <v>0.000018223</v>
      </c>
      <c r="D88" s="17">
        <f t="shared" si="1"/>
        <v>0.123223399</v>
      </c>
      <c r="E88" s="16">
        <f>Inputs!$B$23*Inputs!$B$22*B88</f>
        <v>0.0008982</v>
      </c>
      <c r="F88" s="18">
        <f t="shared" si="2"/>
        <v>0.8982</v>
      </c>
      <c r="G88" s="16">
        <f>E88-Sogginess_Raw!D88</f>
        <v>-0.00000002</v>
      </c>
    </row>
    <row r="89" ht="15.75" customHeight="1">
      <c r="A89" s="13">
        <f>Sogginess_Raw!A89</f>
        <v>1700</v>
      </c>
      <c r="B89" s="16">
        <f>Sogginess_Raw!B89</f>
        <v>0.0000022601</v>
      </c>
      <c r="C89" s="16">
        <f>Sogginess_Raw!C89</f>
        <v>0.000018223</v>
      </c>
      <c r="D89" s="17">
        <f t="shared" si="1"/>
        <v>0.1240245843</v>
      </c>
      <c r="E89" s="16">
        <f>Inputs!$B$23*Inputs!$B$22*B89</f>
        <v>0.00090404</v>
      </c>
      <c r="F89" s="18">
        <f t="shared" si="2"/>
        <v>0.90404</v>
      </c>
      <c r="G89" s="16">
        <f>E89-Sogginess_Raw!D89</f>
        <v>0.00000002</v>
      </c>
    </row>
    <row r="90" ht="15.75" customHeight="1">
      <c r="A90" s="13">
        <f>Sogginess_Raw!A90</f>
        <v>1720</v>
      </c>
      <c r="B90" s="16">
        <f>Sogginess_Raw!B90</f>
        <v>0.0000022745</v>
      </c>
      <c r="C90" s="16">
        <f>Sogginess_Raw!C90</f>
        <v>0.000018223</v>
      </c>
      <c r="D90" s="17">
        <f t="shared" si="1"/>
        <v>0.1248147945</v>
      </c>
      <c r="E90" s="16">
        <f>Inputs!$B$23*Inputs!$B$22*B90</f>
        <v>0.0009098</v>
      </c>
      <c r="F90" s="18">
        <f t="shared" si="2"/>
        <v>0.9098</v>
      </c>
      <c r="G90" s="16">
        <f>E90-Sogginess_Raw!D90</f>
        <v>0</v>
      </c>
    </row>
    <row r="91" ht="15.75" customHeight="1">
      <c r="A91" s="13">
        <f>Sogginess_Raw!A91</f>
        <v>1740</v>
      </c>
      <c r="B91" s="16">
        <f>Sogginess_Raw!B91</f>
        <v>0.0000022888</v>
      </c>
      <c r="C91" s="16">
        <f>Sogginess_Raw!C91</f>
        <v>0.000018223</v>
      </c>
      <c r="D91" s="17">
        <f t="shared" si="1"/>
        <v>0.1255995171</v>
      </c>
      <c r="E91" s="16">
        <f>Inputs!$B$23*Inputs!$B$22*B91</f>
        <v>0.00091552</v>
      </c>
      <c r="F91" s="18">
        <f t="shared" si="2"/>
        <v>0.91552</v>
      </c>
      <c r="G91" s="16">
        <f>E91-Sogginess_Raw!D91</f>
        <v>-0.00000002</v>
      </c>
    </row>
    <row r="92" ht="15.75" customHeight="1">
      <c r="A92" s="13">
        <f>Sogginess_Raw!A92</f>
        <v>1760</v>
      </c>
      <c r="B92" s="16">
        <f>Sogginess_Raw!B92</f>
        <v>0.0000023032</v>
      </c>
      <c r="C92" s="16">
        <f>Sogginess_Raw!C92</f>
        <v>0.000018223</v>
      </c>
      <c r="D92" s="17">
        <f t="shared" si="1"/>
        <v>0.1263897273</v>
      </c>
      <c r="E92" s="16">
        <f>Inputs!$B$23*Inputs!$B$22*B92</f>
        <v>0.00092128</v>
      </c>
      <c r="F92" s="18">
        <f t="shared" si="2"/>
        <v>0.92128</v>
      </c>
      <c r="G92" s="16">
        <f>E92-Sogginess_Raw!D92</f>
        <v>0.00000001</v>
      </c>
    </row>
    <row r="93" ht="15.75" customHeight="1">
      <c r="A93" s="13">
        <f>Sogginess_Raw!A93</f>
        <v>1780</v>
      </c>
      <c r="B93" s="16">
        <f>Sogginess_Raw!B93</f>
        <v>0.0000023174</v>
      </c>
      <c r="C93" s="16">
        <f>Sogginess_Raw!C93</f>
        <v>0.000018223</v>
      </c>
      <c r="D93" s="17">
        <f t="shared" si="1"/>
        <v>0.1271689623</v>
      </c>
      <c r="E93" s="16">
        <f>Inputs!$B$23*Inputs!$B$22*B93</f>
        <v>0.00092696</v>
      </c>
      <c r="F93" s="18">
        <f t="shared" si="2"/>
        <v>0.92696</v>
      </c>
      <c r="G93" s="16">
        <f>E93-Sogginess_Raw!D93</f>
        <v>0</v>
      </c>
    </row>
    <row r="94" ht="15.75" customHeight="1">
      <c r="A94" s="13">
        <f>Sogginess_Raw!A94</f>
        <v>1800</v>
      </c>
      <c r="B94" s="16">
        <f>Sogginess_Raw!B94</f>
        <v>0.0000023316</v>
      </c>
      <c r="C94" s="16">
        <f>Sogginess_Raw!C94</f>
        <v>0.000018223</v>
      </c>
      <c r="D94" s="17">
        <f t="shared" si="1"/>
        <v>0.1279481973</v>
      </c>
      <c r="E94" s="16">
        <f>Inputs!$B$23*Inputs!$B$22*B94</f>
        <v>0.00093264</v>
      </c>
      <c r="F94" s="18">
        <f t="shared" si="2"/>
        <v>0.93264</v>
      </c>
      <c r="G94" s="16">
        <f>E94-Sogginess_Raw!D94</f>
        <v>0.00000001</v>
      </c>
    </row>
    <row r="95" ht="15.75" customHeight="1">
      <c r="D95" s="19" t="s">
        <v>98</v>
      </c>
      <c r="E95" s="20"/>
      <c r="F95" s="21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D95:F9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8.0"/>
    <col customWidth="1" min="3" max="3" width="12.0"/>
    <col customWidth="1" min="4" max="4" width="42.0"/>
    <col customWidth="1" min="5" max="26" width="9.0"/>
  </cols>
  <sheetData>
    <row r="1">
      <c r="A1" s="1" t="s">
        <v>99</v>
      </c>
      <c r="B1" s="2"/>
      <c r="C1" s="2"/>
      <c r="D1" s="3"/>
    </row>
    <row r="3">
      <c r="A3" s="4" t="s">
        <v>100</v>
      </c>
      <c r="B3" s="4" t="s">
        <v>2</v>
      </c>
      <c r="C3" s="4" t="s">
        <v>3</v>
      </c>
      <c r="D3" s="4" t="s">
        <v>101</v>
      </c>
    </row>
    <row r="4">
      <c r="A4" s="5" t="s">
        <v>102</v>
      </c>
      <c r="B4" s="16">
        <f>Inputs!B20</f>
        <v>0.00016558</v>
      </c>
      <c r="C4" s="5" t="s">
        <v>45</v>
      </c>
      <c r="D4" s="5" t="s">
        <v>103</v>
      </c>
    </row>
    <row r="5">
      <c r="A5" s="5" t="s">
        <v>104</v>
      </c>
      <c r="B5" s="11">
        <f>Inputs!B32</f>
        <v>0.091069</v>
      </c>
      <c r="C5" s="5" t="s">
        <v>64</v>
      </c>
      <c r="D5" s="5" t="s">
        <v>105</v>
      </c>
    </row>
    <row r="6">
      <c r="A6" s="5" t="s">
        <v>106</v>
      </c>
      <c r="B6" s="12">
        <f>Inputs!B33</f>
        <v>2276.725</v>
      </c>
      <c r="C6" s="5" t="s">
        <v>67</v>
      </c>
      <c r="D6" s="5" t="s">
        <v>66</v>
      </c>
    </row>
    <row r="7">
      <c r="A7" s="5" t="s">
        <v>107</v>
      </c>
      <c r="B7" s="16">
        <f>Inputs!B26</f>
        <v>0.000018223</v>
      </c>
      <c r="C7" s="5" t="s">
        <v>45</v>
      </c>
      <c r="D7" s="5" t="s">
        <v>103</v>
      </c>
    </row>
    <row r="10">
      <c r="A10" s="1" t="s">
        <v>108</v>
      </c>
      <c r="B10" s="2"/>
      <c r="C10" s="2"/>
      <c r="D10" s="3"/>
    </row>
    <row r="12">
      <c r="A12" s="4" t="s">
        <v>109</v>
      </c>
      <c r="B12" s="4" t="s">
        <v>110</v>
      </c>
      <c r="C12" s="4" t="s">
        <v>3</v>
      </c>
      <c r="D12" s="4" t="s">
        <v>111</v>
      </c>
    </row>
    <row r="13">
      <c r="A13" s="5" t="s">
        <v>112</v>
      </c>
      <c r="B13" s="11">
        <f>MATCH(Inputs!B33,Heat_Calc!B4:B94,1)</f>
        <v>37</v>
      </c>
      <c r="C13" s="5" t="s">
        <v>113</v>
      </c>
      <c r="D13" s="5" t="s">
        <v>114</v>
      </c>
    </row>
    <row r="14">
      <c r="A14" s="5" t="s">
        <v>115</v>
      </c>
      <c r="B14" s="11">
        <f t="array" ref="B14">INDEX(Heat_Calc!A4:A94,B13)</f>
        <v>720</v>
      </c>
      <c r="C14" s="5" t="s">
        <v>14</v>
      </c>
      <c r="D14" s="5" t="s">
        <v>116</v>
      </c>
    </row>
    <row r="15">
      <c r="A15" s="5" t="s">
        <v>117</v>
      </c>
      <c r="B15" s="11">
        <f t="array" ref="B15">INDEX(Heat_Calc!B4:B94,B13)</f>
        <v>2235.3</v>
      </c>
      <c r="C15" s="5" t="s">
        <v>67</v>
      </c>
      <c r="D15" s="5" t="s">
        <v>118</v>
      </c>
    </row>
    <row r="16">
      <c r="A16" s="5" t="s">
        <v>119</v>
      </c>
      <c r="B16" s="11">
        <f t="array" ref="B16">INDEX(Heat_Calc!A4:A94,B13+1)</f>
        <v>740</v>
      </c>
      <c r="C16" s="5" t="s">
        <v>14</v>
      </c>
      <c r="D16" s="5" t="s">
        <v>120</v>
      </c>
    </row>
    <row r="17">
      <c r="A17" s="5" t="s">
        <v>121</v>
      </c>
      <c r="B17" s="11">
        <f t="array" ref="B17">INDEX(Heat_Calc!B4:B94,B13+1)</f>
        <v>2285.3</v>
      </c>
      <c r="C17" s="5" t="s">
        <v>67</v>
      </c>
      <c r="D17" s="5" t="s">
        <v>122</v>
      </c>
    </row>
    <row r="18">
      <c r="A18" s="5" t="s">
        <v>123</v>
      </c>
      <c r="B18" s="11">
        <f>B14+(Inputs!B33-B15)/(B17-B15)*(B16-B14)</f>
        <v>736.57</v>
      </c>
      <c r="C18" s="5" t="s">
        <v>14</v>
      </c>
      <c r="D18" s="5" t="s">
        <v>124</v>
      </c>
    </row>
    <row r="19">
      <c r="A19" s="5" t="s">
        <v>123</v>
      </c>
      <c r="B19" s="11">
        <f>B18/60</f>
        <v>12.27616667</v>
      </c>
      <c r="C19" s="5" t="s">
        <v>125</v>
      </c>
      <c r="D19" s="5" t="s">
        <v>126</v>
      </c>
    </row>
    <row r="20">
      <c r="A20" s="5"/>
      <c r="B20" s="11"/>
      <c r="C20" s="5"/>
      <c r="D20" s="5"/>
    </row>
    <row r="21" ht="15.75" customHeight="1">
      <c r="A21" s="22" t="s">
        <v>127</v>
      </c>
      <c r="B21" s="2"/>
      <c r="C21" s="2"/>
      <c r="D21" s="3"/>
    </row>
    <row r="22" ht="15.75" customHeight="1">
      <c r="A22" s="5"/>
      <c r="B22" s="11"/>
      <c r="C22" s="5"/>
      <c r="D22" s="5"/>
    </row>
    <row r="23" ht="15.75" customHeight="1">
      <c r="A23" s="5" t="s">
        <v>100</v>
      </c>
      <c r="B23" s="11" t="s">
        <v>2</v>
      </c>
      <c r="C23" s="5" t="s">
        <v>3</v>
      </c>
      <c r="D23" s="5" t="s">
        <v>111</v>
      </c>
    </row>
    <row r="24" ht="15.75" customHeight="1">
      <c r="A24" s="5" t="s">
        <v>128</v>
      </c>
      <c r="B24" s="11">
        <f t="array" ref="B24">INDEX(Heat_Calc!B4:B94,MATCH(1800,Heat_Calc!A4:A94,0))</f>
        <v>4485.8</v>
      </c>
      <c r="C24" s="5" t="s">
        <v>67</v>
      </c>
      <c r="D24" s="5" t="s">
        <v>129</v>
      </c>
    </row>
    <row r="25" ht="15.75" customHeight="1">
      <c r="A25" s="5" t="s">
        <v>130</v>
      </c>
      <c r="B25" s="11">
        <f t="array" ref="B25">INDEX(Heat_Calc!F4:F94,MATCH(1800,Heat_Calc!A4:A94,0))</f>
        <v>8.8363</v>
      </c>
      <c r="C25" s="5" t="s">
        <v>131</v>
      </c>
      <c r="D25" s="5" t="s">
        <v>132</v>
      </c>
    </row>
    <row r="26" ht="15.75" customHeight="1">
      <c r="A26" s="5" t="s">
        <v>133</v>
      </c>
      <c r="B26" s="11">
        <f t="array" ref="B26">INDEX(Sogginess_Calc!F4:F94,MATCH(1800,Sogginess_Calc!A4:A94,0))</f>
        <v>0.93264</v>
      </c>
      <c r="C26" s="5" t="s">
        <v>131</v>
      </c>
      <c r="D26" s="5" t="s">
        <v>134</v>
      </c>
    </row>
    <row r="27" ht="15.75" customHeight="1">
      <c r="A27" s="5" t="s">
        <v>135</v>
      </c>
      <c r="B27" s="11">
        <f t="array" ref="B27">INDEX(Sogginess_Calc!D4:D94,MATCH(1800,Sogginess_Calc!A4:A94,0))</f>
        <v>0.1279481973</v>
      </c>
      <c r="C27" s="5" t="s">
        <v>51</v>
      </c>
      <c r="D27" s="5" t="s">
        <v>136</v>
      </c>
    </row>
    <row r="28" ht="15.75" customHeight="1">
      <c r="A28" s="5" t="s">
        <v>137</v>
      </c>
      <c r="B28" s="11">
        <f t="array" ref="B28">INDEX(Heat_Calc!I4:I94,MATCH(1800,Heat_Calc!A4:A94,0))</f>
        <v>7.90366</v>
      </c>
      <c r="C28" s="5" t="s">
        <v>131</v>
      </c>
      <c r="D28" s="5" t="s">
        <v>138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10:D10"/>
    <mergeCell ref="A21:D2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6" width="9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2026-04-15T09:18:08Z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B721139D35F94021B188A86F4BA24DEF_13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