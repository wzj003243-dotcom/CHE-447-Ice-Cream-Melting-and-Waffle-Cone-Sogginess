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4"/>
    <sheet state="visible" name="Bound_Types" sheetId="2" r:id="rId5"/>
    <sheet state="visible" name="COMSOL_Where_To_Read" sheetId="3" r:id="rId6"/>
    <sheet state="visible" name="Case_Auto" sheetId="4" r:id="rId7"/>
    <sheet state="visible" name="Source_Register" sheetId="5" r:id="rId8"/>
  </sheets>
  <definedNames/>
  <calcPr/>
  <extLst>
    <ext uri="GoogleSheetsCustomDataVersion2">
      <go:sheetsCustomData xmlns:go="http://customooxmlschemas.google.com/" r:id="rId9" roundtripDataChecksum="epzxWdUrILpl+aBWVdXvcPy7Iku+rGhBAQ9sdo5Su3Q="/>
    </ext>
  </extLst>
</workbook>
</file>

<file path=xl/sharedStrings.xml><?xml version="1.0" encoding="utf-8"?>
<sst xmlns="http://schemas.openxmlformats.org/spreadsheetml/2006/main" count="306" uniqueCount="172">
  <si>
    <t>Global Assumptions and Thresholds</t>
  </si>
  <si>
    <t>Item</t>
  </si>
  <si>
    <t>Value</t>
  </si>
  <si>
    <t>Unit</t>
  </si>
  <si>
    <t>Type</t>
  </si>
  <si>
    <t>Notes</t>
  </si>
  <si>
    <t>T0</t>
  </si>
  <si>
    <t>K</t>
  </si>
  <si>
    <t>fixed model input</t>
  </si>
  <si>
    <t>Initial system temperature</t>
  </si>
  <si>
    <t>Tm</t>
  </si>
  <si>
    <t>Effective melting temperature</t>
  </si>
  <si>
    <t>V_ice</t>
  </si>
  <si>
    <t>m^3</t>
  </si>
  <si>
    <t>fixed geometry output</t>
  </si>
  <si>
    <t>Baseline COMSOL ice-cream volume</t>
  </si>
  <si>
    <t>noticeable_melt_mass</t>
  </si>
  <si>
    <t>g</t>
  </si>
  <si>
    <t>practical threshold</t>
  </si>
  <si>
    <t>Suggested threshold for noticeable melting</t>
  </si>
  <si>
    <t>noticeable_soggy_mass</t>
  </si>
  <si>
    <t>Suggested threshold for noticeable sogginess</t>
  </si>
  <si>
    <t>unacceptable_soggy_mass</t>
  </si>
  <si>
    <t>Suggested threshold for unacceptable sogginess</t>
  </si>
  <si>
    <t>Bound Type Definitions</t>
  </si>
  <si>
    <t>Ice Cream Types</t>
  </si>
  <si>
    <t>ice_level</t>
  </si>
  <si>
    <t>ice_type</t>
  </si>
  <si>
    <t>rho_ice_kg_m3</t>
  </si>
  <si>
    <t>Cp_ice_J_kgK</t>
  </si>
  <si>
    <t>dH_melt_J_kg</t>
  </si>
  <si>
    <t>source_status</t>
  </si>
  <si>
    <t>source_note</t>
  </si>
  <si>
    <t>Implement in COMSOL?</t>
  </si>
  <si>
    <t>Implement in Excel?</t>
  </si>
  <si>
    <t>Comments</t>
  </si>
  <si>
    <t>Light / airy</t>
  </si>
  <si>
    <t>literature-informed scenario</t>
  </si>
  <si>
    <t>density anchored by overrun logic; latent heat anchored by frozen dessert thermal table</t>
  </si>
  <si>
    <t>rho_ice yes</t>
  </si>
  <si>
    <t>dH_melt post-process</t>
  </si>
  <si>
    <t/>
  </si>
  <si>
    <t>Standard</t>
  </si>
  <si>
    <t>literature-anchored</t>
  </si>
  <si>
    <t>best baseline anchor</t>
  </si>
  <si>
    <t>Dense / premium</t>
  </si>
  <si>
    <t>dense type grouped from lower-overrun / premium logic</t>
  </si>
  <si>
    <t>Cone Types</t>
  </si>
  <si>
    <t>cone_level</t>
  </si>
  <si>
    <t>cone_type</t>
  </si>
  <si>
    <t>t_cone_mm</t>
  </si>
  <si>
    <t>Deff_m2_s</t>
  </si>
  <si>
    <t>Thin / easily soggy</t>
  </si>
  <si>
    <t>mixed: thickness anchored; Deff effective</t>
  </si>
  <si>
    <t>thickness rounded from waffle-cone data; Deff to calibrate</t>
  </si>
  <si>
    <t>yes</t>
  </si>
  <si>
    <t>no</t>
  </si>
  <si>
    <t>baseline cone</t>
  </si>
  <si>
    <t>More resistant</t>
  </si>
  <si>
    <t>slower wetting scenario</t>
  </si>
  <si>
    <t>Environment Levels</t>
  </si>
  <si>
    <t>temp_level</t>
  </si>
  <si>
    <t>Tinf_label</t>
  </si>
  <si>
    <t>Tinf_K</t>
  </si>
  <si>
    <t>h_level</t>
  </si>
  <si>
    <t>h_label</t>
  </si>
  <si>
    <t>h_conv_W_m2K</t>
  </si>
  <si>
    <t>Cool indoor</t>
  </si>
  <si>
    <t>Low air motion</t>
  </si>
  <si>
    <t>scenario variable</t>
  </si>
  <si>
    <t>Standard room</t>
  </si>
  <si>
    <t>Warm / outdoor-like</t>
  </si>
  <si>
    <t>High air motion</t>
  </si>
  <si>
    <t>Where to Read Each Required Value in COMSOL</t>
  </si>
  <si>
    <t>Workbook field</t>
  </si>
  <si>
    <t>What it means</t>
  </si>
  <si>
    <t>COMSOL location</t>
  </si>
  <si>
    <t>Expression / table</t>
  </si>
  <si>
    <t>What to copy</t>
  </si>
  <si>
    <t>onset_t1 / onset_E1 / onset_t2 / onset_E2</t>
  </si>
  <si>
    <t>Two E_ice points that bracket Qreq_melt</t>
  </si>
  <si>
    <t>Results &gt; Derived Values &gt; Volume Integration 3 (heat)</t>
  </si>
  <si>
    <t>rho_ice*Cp_ice*(T-T0)</t>
  </si>
  <si>
    <t>Read the two adjacent rows around Qreq_melt</t>
  </si>
  <si>
    <t>notice_melt_t1 / E1 / t2 / E2</t>
  </si>
  <si>
    <t>Two E_ice points that bracket Q_noticeable_melt</t>
  </si>
  <si>
    <t>Read the two adjacent rows around Q_noticeable_melt</t>
  </si>
  <si>
    <t>E_ice_1800_J</t>
  </si>
  <si>
    <t>Ice-cream sensible energy at final time</t>
  </si>
  <si>
    <t>Copy the row at t = 1800 s</t>
  </si>
  <si>
    <t>notice_soggy_t1 / M1 / t2 / M2</t>
  </si>
  <si>
    <t>Two M_abs points that bracket 0.60 g</t>
  </si>
  <si>
    <t>Results &gt; Derived Values &gt; Volume Integration 4 (sogginess)</t>
  </si>
  <si>
    <t>rho_liq*eps_cone*sat</t>
  </si>
  <si>
    <t>Read the two adjacent rows around 0.00060 kg and convert to g in Excel input columns if requested</t>
  </si>
  <si>
    <t>bad_soggy_t1 / M1 / t2 / M2</t>
  </si>
  <si>
    <t>Two M_abs points that bracket 0.80 g</t>
  </si>
  <si>
    <t>Read the two adjacent rows around 0.00080 kg and convert to g in Excel input columns if requested</t>
  </si>
  <si>
    <t>M_abs_1800_kg</t>
  </si>
  <si>
    <t>Absorbed liquid mass at final time</t>
  </si>
  <si>
    <t>sat_int_1800_m3</t>
  </si>
  <si>
    <t>Integral of saturation over cone wall at final time</t>
  </si>
  <si>
    <t>sat</t>
  </si>
  <si>
    <t>V_cone_1800_m3</t>
  </si>
  <si>
    <t>Cone-wall volume</t>
  </si>
  <si>
    <t>1</t>
  </si>
  <si>
    <t>Copy the volume value (usually constant)</t>
  </si>
  <si>
    <t>27-Case Auto-Calculation Data Collection Table</t>
  </si>
  <si>
    <t>Case</t>
  </si>
  <si>
    <t>A_T_level</t>
  </si>
  <si>
    <t>B_h_level</t>
  </si>
  <si>
    <t>C_ice_level</t>
  </si>
  <si>
    <t>D_cone_level</t>
  </si>
  <si>
    <t>V_ice_m3</t>
  </si>
  <si>
    <t>m_ice_kg</t>
  </si>
  <si>
    <t>Qreq_melt_J</t>
  </si>
  <si>
    <t>noticeable_melt_mass_g</t>
  </si>
  <si>
    <t>Q_noticeable_melt_J</t>
  </si>
  <si>
    <t>Deff_eff_m2_s</t>
  </si>
  <si>
    <t>M_abs_1800_g</t>
  </si>
  <si>
    <t>SI_1800</t>
  </si>
  <si>
    <t>M_melt_1800_g</t>
  </si>
  <si>
    <t>onset_t1_s</t>
  </si>
  <si>
    <t>onset_E1_J</t>
  </si>
  <si>
    <t>onset_t2_s</t>
  </si>
  <si>
    <t>onset_E2_J</t>
  </si>
  <si>
    <t>t_melt_onset_s</t>
  </si>
  <si>
    <t>notice_melt_t1_s</t>
  </si>
  <si>
    <t>notice_melt_E1_J</t>
  </si>
  <si>
    <t>notice_melt_t2_s</t>
  </si>
  <si>
    <t>notice_melt_E2_J</t>
  </si>
  <si>
    <t>t_noticeable_melt_s</t>
  </si>
  <si>
    <t>notice_soggy_t1_s</t>
  </si>
  <si>
    <t>notice_soggy_M1_g</t>
  </si>
  <si>
    <t>notice_soggy_t2_s</t>
  </si>
  <si>
    <t>notice_soggy_M2_g</t>
  </si>
  <si>
    <t>t_noticeable_soggy_s</t>
  </si>
  <si>
    <t>bad_soggy_t1_s</t>
  </si>
  <si>
    <t>bad_soggy_M1_g</t>
  </si>
  <si>
    <t>bad_soggy_t2_s</t>
  </si>
  <si>
    <t>bad_soggy_M2_g</t>
  </si>
  <si>
    <t>t_unacceptably_soggy_s</t>
  </si>
  <si>
    <t>t_finish_s</t>
  </si>
  <si>
    <t>m_cone_dry_g</t>
  </si>
  <si>
    <t>M_abs_notice_g</t>
  </si>
  <si>
    <t>M_abs_bad_g</t>
  </si>
  <si>
    <t>Source Register</t>
  </si>
  <si>
    <t>Source_ID</t>
  </si>
  <si>
    <t>Supports</t>
  </si>
  <si>
    <t>Status</t>
  </si>
  <si>
    <t>Short note</t>
  </si>
  <si>
    <t>URL</t>
  </si>
  <si>
    <t>SRC_ICE_DENSITY</t>
  </si>
  <si>
    <t>Ice cream density / overrun logic</t>
  </si>
  <si>
    <t>Supports density levels and type grouping.</t>
  </si>
  <si>
    <t>https://books.lib.uoguelph.ca/icecreamtechnologyebook/chapter/overrun-calculations/?utm_source=chatgpt.com</t>
  </si>
  <si>
    <t>SRC_ICE_THERMAL</t>
  </si>
  <si>
    <t>Ice cream Cp and latent heat range</t>
  </si>
  <si>
    <t>Supports Cp_ice and dH_melt levels.</t>
  </si>
  <si>
    <t>https://www.gcca.org/legacy-system/WFLO-Commodity-Storage-Manual-2018-Ice%20Cream%20and%20Frozen%20Desserts.pdf</t>
  </si>
  <si>
    <t>SRC_CONE_THICKNESS</t>
  </si>
  <si>
    <t>Waffle cone thickness</t>
  </si>
  <si>
    <t>Supports t_cone levels.</t>
  </si>
  <si>
    <t>https://www.thepharmajournal.com/archives/2023/vol12issue7/PartAB/12-7-58-979.pdf</t>
  </si>
  <si>
    <t>SRC_EFFECTIVE_DIFF</t>
  </si>
  <si>
    <t>Effective cone-wall diffusivity as a model parameter</t>
  </si>
  <si>
    <t>effective / calibrate</t>
  </si>
  <si>
    <t>Supports using Deff as an effective parameter to refine by experiment.</t>
  </si>
  <si>
    <t>https://openresearch.surrey.ac.uk/view/pdfCoverPage?download=true&amp;filePid=13161200050002346&amp;instCode=44SUR_INST</t>
  </si>
  <si>
    <t>Parameter Setting Rationale for Ice Cream and Cone Types
To keep the case matrix physically meaningful while still manageable for a 27-run design, we grouped the inputs into ice cream type and cone type rather than varying every material property independently. For the ice cream, density was used as the main structural indicator because it is directly tied to overrun: standard ice cream is commonly close to about 550 kg/m3, while more airy products are lighter and denser premium-style products are heavier. Based on this logic, we used three representative ice-cream types: Light/Airy ρice =500 kg/m3, Standard 550 kg/m3, and Dense/Premium 600 kg/m3. We fixed Cp,ice =2750 J/(kg  K) using published frozendessert thermal-property tables, and we assigned effective melting-energy values of 186, 200, and 204 kJ/kg to the three types. These latent-heat values are anchored to published frozen-dessert thermal-property data, while the mapping from "airy/standard/dense" to those three levels is a literature-informed scenario binding rather than a direct product-specific measurement.
For the cone, thickness and moisture-uptake behavior were treated separately. Cone thickness was assigned three levels, 2.58,2.68, and 2.77 mm , because experimental waffle-cone data report a thickness range of approximately 2.58−2.77 mm. This makes the thickness levels literatureanchored. 
By contrast, the cone moisture parameter was renamed as Deff,cone  and treated as an effective calibrated parameter, not as a direct thickness-derived constant. This choice was made because moisture-migration studies on manufactured ice-cream cones show that effective diffusivity is strongly influenced by the material/barrier system and operating condition, and may vary over orders of magnitude. In other words, a thicker cone already changes the transport path length geometrically, while Deff,cone  should represent the combined barrier and pore-structure behavior of the cone system. Therefore, Deff,cone  was not mechanically tied to thickness. Instead, we used three engineering levels, 5×10−12,2×10−11, and 6×10−11 m2/s, to span slower to faster uptake behavior within the order of magnitude suggested by cone moisture-migration literature. These values should be interpreted as effective scenario levels to be refined by experiment, not as exact product constants.</t>
  </si>
  <si>
    <t>Cp_ice   = 2750[J/(kg*K)]
rho_cone = 200[kg/m^3]
k_cone   = 0.10[W/(m*K)]
Cp_cone  = 1750[J/(kg*K)]
eps_cone = 0.80</t>
  </si>
  <si>
    <r>
      <rPr/>
      <t xml:space="preserve">Wafer product density range:
https://ebooks.inflibnet.ac.in/ftp5/chapter/technology-of-wafer-biscuits/1000/
Waffle cone thickness / weight / moisture:
https://www.thepharmajournal.com/archives/2023/vol12issue7/PartAB/12-7-58-979.pdf
Cone moisture migration / effective diffusivity / crispness threshold:
https://openresearch.surrey.ac.uk/view/pdfCoverPage?download=true&amp;filePid=13161200050002346&amp;instCode=44SUR_INST
Wafer crispness / water activity / moisture relation:
https://www.mdpi.com/2076-3417/12/14/7163
Bakery proxy values for thermal properties:
https://www.academia.edu/20246150/Determination_of_the_thermal_diffusivity_of_bread_as_a_function_of_porosity
</t>
    </r>
    <r>
      <rPr>
        <color rgb="FF1155CC"/>
        <u/>
      </rPr>
      <t>https://www.aensiweb.com/old/jasr/jasr/2010/1680-1686.pdf</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</si>
</sst>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E+00"/>
    <numFmt numFmtId="165" formatCode="0.000"/>
  </numFmts>
  <fonts count="8">
    <font>
      <sz val="11.0"/>
      <color theme="1"/>
      <name val="Calibri"/>
      <scheme val="minor"/>
    </font>
    <font>
      <b/>
      <sz val="11.0"/>
      <color theme="1"/>
      <name val="Calibri"/>
    </font>
    <font/>
    <font>
      <sz val="11.0"/>
      <color theme="1"/>
      <name val="Calibri"/>
    </font>
    <font>
      <sz val="11.0"/>
      <color rgb="FF0000FF"/>
      <name val="Calibri"/>
    </font>
    <font>
      <sz val="11.0"/>
      <color rgb="FF000000"/>
      <name val="Calibri"/>
    </font>
    <font>
      <color theme="1"/>
      <name val="Calibri"/>
      <scheme val="minor"/>
    </font>
    <font>
      <u/>
      <color rgb="FF0000FF"/>
    </font>
  </fonts>
  <fills count="4">
    <fill>
      <patternFill patternType="none"/>
    </fill>
    <fill>
      <patternFill patternType="lightGray"/>
    </fill>
    <fill>
      <patternFill patternType="solid">
        <fgColor rgb="FFE2F0D9"/>
        <bgColor rgb="FFE2F0D9"/>
      </patternFill>
    </fill>
    <fill>
      <patternFill patternType="solid">
        <fgColor rgb="FFFFF2CC"/>
        <bgColor rgb="FFFFF2CC"/>
      </patternFill>
    </fill>
  </fills>
  <borders count="5">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4" fillId="0" fontId="3" numFmtId="0" xfId="0" applyAlignment="1" applyBorder="1" applyFont="1">
      <alignment horizontal="center" vertical="center"/>
    </xf>
    <xf borderId="4" fillId="0" fontId="3" numFmtId="2" xfId="0" applyAlignment="1" applyBorder="1" applyFont="1" applyNumberFormat="1">
      <alignment horizontal="center" vertical="center"/>
    </xf>
    <xf borderId="4" fillId="0" fontId="3" numFmtId="164" xfId="0" applyAlignment="1" applyBorder="1" applyFont="1" applyNumberFormat="1">
      <alignment horizontal="center" vertical="center"/>
    </xf>
    <xf borderId="0" fillId="0" fontId="1" numFmtId="0" xfId="0" applyAlignment="1" applyFont="1">
      <alignment horizontal="left" vertical="center"/>
    </xf>
    <xf borderId="4" fillId="0" fontId="1" numFmtId="0" xfId="0" applyAlignment="1" applyBorder="1" applyFont="1">
      <alignment horizontal="center" readingOrder="0" vertical="center"/>
    </xf>
    <xf borderId="0" fillId="0" fontId="1" numFmtId="0" xfId="0" applyAlignment="1" applyFont="1">
      <alignment horizontal="center" readingOrder="0" vertical="center"/>
    </xf>
    <xf borderId="4" fillId="2" fontId="4" numFmtId="2" xfId="0" applyAlignment="1" applyBorder="1" applyFill="1" applyFont="1" applyNumberFormat="1">
      <alignment horizontal="center" vertical="center"/>
    </xf>
    <xf borderId="4" fillId="2" fontId="4" numFmtId="0" xfId="0" applyAlignment="1" applyBorder="1" applyFont="1">
      <alignment horizontal="center" vertical="center"/>
    </xf>
    <xf borderId="4" fillId="2" fontId="4" numFmtId="11" xfId="0" applyAlignment="1" applyBorder="1" applyFont="1" applyNumberFormat="1">
      <alignment horizontal="center" vertical="center"/>
    </xf>
    <xf borderId="4" fillId="0" fontId="3" numFmtId="11" xfId="0" applyAlignment="1" applyBorder="1" applyFont="1" applyNumberFormat="1">
      <alignment horizontal="center" vertical="center"/>
    </xf>
    <xf borderId="4" fillId="2" fontId="4" numFmtId="2" xfId="0" applyAlignment="1" applyBorder="1" applyFont="1" applyNumberFormat="1">
      <alignment horizontal="center" readingOrder="0" vertical="center"/>
    </xf>
    <xf borderId="4" fillId="2" fontId="4" numFmtId="11" xfId="0" applyAlignment="1" applyBorder="1" applyFont="1" applyNumberFormat="1">
      <alignment horizontal="center" readingOrder="0" vertical="center"/>
    </xf>
    <xf borderId="4" fillId="3" fontId="5" numFmtId="11" xfId="0" applyAlignment="1" applyBorder="1" applyFill="1" applyFont="1" applyNumberFormat="1">
      <alignment horizontal="center" readingOrder="0" vertical="center"/>
    </xf>
    <xf borderId="4" fillId="0" fontId="5" numFmtId="165" xfId="0" applyAlignment="1" applyBorder="1" applyFont="1" applyNumberFormat="1">
      <alignment horizontal="center" vertical="center"/>
    </xf>
    <xf borderId="4" fillId="0" fontId="5" numFmtId="2" xfId="0" applyAlignment="1" applyBorder="1" applyFont="1" applyNumberFormat="1">
      <alignment horizontal="center" vertical="center"/>
    </xf>
    <xf borderId="4" fillId="3" fontId="5" numFmtId="2" xfId="0" applyAlignment="1" applyBorder="1" applyFont="1" applyNumberFormat="1">
      <alignment horizontal="center" readingOrder="0" vertical="center"/>
    </xf>
    <xf borderId="4" fillId="3" fontId="3" numFmtId="165" xfId="0" applyAlignment="1" applyBorder="1" applyFont="1" applyNumberFormat="1">
      <alignment horizontal="center" readingOrder="0" vertical="center"/>
    </xf>
    <xf borderId="4" fillId="3" fontId="3" numFmtId="2" xfId="0" applyAlignment="1" applyBorder="1" applyFont="1" applyNumberFormat="1">
      <alignment horizontal="center" readingOrder="0" vertical="center"/>
    </xf>
    <xf borderId="0" fillId="0" fontId="3" numFmtId="2" xfId="0" applyAlignment="1" applyFont="1" applyNumberFormat="1">
      <alignment horizontal="center" vertical="center"/>
    </xf>
    <xf borderId="0" fillId="0" fontId="3" numFmtId="2" xfId="0" applyAlignment="1" applyFont="1" applyNumberFormat="1">
      <alignment horizontal="center" readingOrder="0" vertical="center"/>
    </xf>
    <xf borderId="4" fillId="3" fontId="3" numFmtId="11" xfId="0" applyAlignment="1" applyBorder="1" applyFont="1" applyNumberFormat="1">
      <alignment horizontal="center" readingOrder="0" vertical="center"/>
    </xf>
    <xf borderId="4" fillId="0" fontId="3" numFmtId="165" xfId="0" applyAlignment="1" applyBorder="1" applyFont="1" applyNumberFormat="1">
      <alignment horizontal="center" vertical="center"/>
    </xf>
    <xf borderId="4" fillId="3" fontId="3" numFmtId="11" xfId="0" applyAlignment="1" applyBorder="1" applyFont="1" applyNumberFormat="1">
      <alignment horizontal="center" vertical="center"/>
    </xf>
    <xf borderId="4" fillId="3" fontId="3" numFmtId="2" xfId="0" applyAlignment="1" applyBorder="1" applyFont="1" applyNumberFormat="1">
      <alignment horizontal="center" vertical="center"/>
    </xf>
    <xf borderId="4" fillId="3" fontId="3" numFmtId="165" xfId="0" applyAlignment="1" applyBorder="1" applyFont="1" applyNumberFormat="1">
      <alignment horizontal="center" vertical="center"/>
    </xf>
    <xf borderId="0" fillId="0" fontId="6" numFmtId="0" xfId="0" applyAlignment="1" applyFont="1">
      <alignment horizontal="lef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ensiweb.com/old/jasr/jasr/2010/1680-1686.pdf"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4.0"/>
    <col customWidth="1" min="3" max="3" width="12.0"/>
    <col customWidth="1" min="4" max="4" width="20.0"/>
    <col customWidth="1" min="5" max="5" width="45.0"/>
    <col customWidth="1" min="6" max="26" width="9.0"/>
  </cols>
  <sheetData>
    <row r="1">
      <c r="A1" s="1" t="s">
        <v>0</v>
      </c>
      <c r="B1" s="2"/>
      <c r="C1" s="2"/>
      <c r="D1" s="2"/>
      <c r="E1" s="3"/>
    </row>
    <row r="3">
      <c r="A3" s="4" t="s">
        <v>1</v>
      </c>
      <c r="B3" s="4" t="s">
        <v>2</v>
      </c>
      <c r="C3" s="4" t="s">
        <v>3</v>
      </c>
      <c r="D3" s="4" t="s">
        <v>4</v>
      </c>
      <c r="E3" s="4" t="s">
        <v>5</v>
      </c>
    </row>
    <row r="4">
      <c r="A4" s="5" t="s">
        <v>6</v>
      </c>
      <c r="B4" s="6">
        <v>263.15</v>
      </c>
      <c r="C4" s="5" t="s">
        <v>7</v>
      </c>
      <c r="D4" s="5" t="s">
        <v>8</v>
      </c>
      <c r="E4" s="5" t="s">
        <v>9</v>
      </c>
    </row>
    <row r="5">
      <c r="A5" s="5" t="s">
        <v>10</v>
      </c>
      <c r="B5" s="6">
        <v>273.15</v>
      </c>
      <c r="C5" s="5" t="s">
        <v>7</v>
      </c>
      <c r="D5" s="5" t="s">
        <v>8</v>
      </c>
      <c r="E5" s="5" t="s">
        <v>11</v>
      </c>
    </row>
    <row r="6">
      <c r="A6" s="5" t="s">
        <v>12</v>
      </c>
      <c r="B6" s="7">
        <v>1.6558E-4</v>
      </c>
      <c r="C6" s="5" t="s">
        <v>13</v>
      </c>
      <c r="D6" s="5" t="s">
        <v>14</v>
      </c>
      <c r="E6" s="5" t="s">
        <v>15</v>
      </c>
    </row>
    <row r="7">
      <c r="A7" s="5" t="s">
        <v>16</v>
      </c>
      <c r="B7" s="6">
        <v>5.0</v>
      </c>
      <c r="C7" s="5" t="s">
        <v>17</v>
      </c>
      <c r="D7" s="5" t="s">
        <v>18</v>
      </c>
      <c r="E7" s="5" t="s">
        <v>19</v>
      </c>
    </row>
    <row r="8">
      <c r="A8" s="5" t="s">
        <v>20</v>
      </c>
      <c r="B8" s="6">
        <v>0.6</v>
      </c>
      <c r="C8" s="5" t="s">
        <v>17</v>
      </c>
      <c r="D8" s="5" t="s">
        <v>18</v>
      </c>
      <c r="E8" s="5" t="s">
        <v>21</v>
      </c>
    </row>
    <row r="9">
      <c r="A9" s="5" t="s">
        <v>22</v>
      </c>
      <c r="B9" s="6">
        <v>0.8</v>
      </c>
      <c r="C9" s="5" t="s">
        <v>17</v>
      </c>
      <c r="D9" s="5" t="s">
        <v>18</v>
      </c>
      <c r="E9" s="5"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0.0"/>
    <col customWidth="1" min="3" max="4" width="14.0"/>
    <col customWidth="1" min="5" max="6" width="16.0"/>
    <col customWidth="1" min="7" max="7" width="28.0"/>
    <col customWidth="1" min="8" max="9" width="18.0"/>
    <col customWidth="1" min="10" max="10" width="24.0"/>
    <col customWidth="1" min="11" max="26" width="9.0"/>
  </cols>
  <sheetData>
    <row r="1">
      <c r="A1" s="1" t="s">
        <v>24</v>
      </c>
      <c r="B1" s="2"/>
      <c r="C1" s="2"/>
      <c r="D1" s="2"/>
      <c r="E1" s="2"/>
      <c r="F1" s="2"/>
      <c r="G1" s="2"/>
      <c r="H1" s="2"/>
      <c r="I1" s="2"/>
      <c r="J1" s="3"/>
    </row>
    <row r="3">
      <c r="A3" s="1" t="s">
        <v>25</v>
      </c>
      <c r="B3" s="2"/>
      <c r="C3" s="2"/>
      <c r="D3" s="2"/>
      <c r="E3" s="2"/>
      <c r="F3" s="2"/>
      <c r="G3" s="2"/>
      <c r="H3" s="2"/>
      <c r="I3" s="2"/>
      <c r="J3" s="3"/>
    </row>
    <row r="4">
      <c r="A4" s="4" t="s">
        <v>26</v>
      </c>
      <c r="B4" s="4" t="s">
        <v>27</v>
      </c>
      <c r="C4" s="4" t="s">
        <v>28</v>
      </c>
      <c r="D4" s="4" t="s">
        <v>29</v>
      </c>
      <c r="E4" s="4" t="s">
        <v>30</v>
      </c>
      <c r="F4" s="4" t="s">
        <v>31</v>
      </c>
      <c r="G4" s="4" t="s">
        <v>32</v>
      </c>
      <c r="H4" s="4" t="s">
        <v>33</v>
      </c>
      <c r="I4" s="4" t="s">
        <v>34</v>
      </c>
      <c r="J4" s="4" t="s">
        <v>35</v>
      </c>
    </row>
    <row r="5">
      <c r="A5" s="5">
        <v>1.0</v>
      </c>
      <c r="B5" s="5" t="s">
        <v>36</v>
      </c>
      <c r="C5" s="5">
        <v>500.0</v>
      </c>
      <c r="D5" s="5">
        <v>2750.0</v>
      </c>
      <c r="E5" s="5">
        <v>186000.0</v>
      </c>
      <c r="F5" s="5" t="s">
        <v>37</v>
      </c>
      <c r="G5" s="5" t="s">
        <v>38</v>
      </c>
      <c r="H5" s="5" t="s">
        <v>39</v>
      </c>
      <c r="I5" s="5" t="s">
        <v>40</v>
      </c>
      <c r="J5" s="5" t="s">
        <v>41</v>
      </c>
    </row>
    <row r="6">
      <c r="A6" s="5">
        <v>2.0</v>
      </c>
      <c r="B6" s="5" t="s">
        <v>42</v>
      </c>
      <c r="C6" s="5">
        <v>550.0</v>
      </c>
      <c r="D6" s="5">
        <v>2750.0</v>
      </c>
      <c r="E6" s="5">
        <v>200000.0</v>
      </c>
      <c r="F6" s="5" t="s">
        <v>43</v>
      </c>
      <c r="G6" s="5" t="s">
        <v>44</v>
      </c>
      <c r="H6" s="5" t="s">
        <v>39</v>
      </c>
      <c r="I6" s="5" t="s">
        <v>40</v>
      </c>
      <c r="J6" s="5" t="s">
        <v>41</v>
      </c>
    </row>
    <row r="7">
      <c r="A7" s="5">
        <v>3.0</v>
      </c>
      <c r="B7" s="5" t="s">
        <v>45</v>
      </c>
      <c r="C7" s="5">
        <v>600.0</v>
      </c>
      <c r="D7" s="5">
        <v>2750.0</v>
      </c>
      <c r="E7" s="5">
        <v>204000.0</v>
      </c>
      <c r="F7" s="5" t="s">
        <v>37</v>
      </c>
      <c r="G7" s="5" t="s">
        <v>46</v>
      </c>
      <c r="H7" s="5" t="s">
        <v>39</v>
      </c>
      <c r="I7" s="5" t="s">
        <v>40</v>
      </c>
      <c r="J7" s="5" t="s">
        <v>41</v>
      </c>
    </row>
    <row r="10">
      <c r="A10" s="1" t="s">
        <v>47</v>
      </c>
      <c r="B10" s="2"/>
      <c r="C10" s="2"/>
      <c r="D10" s="2"/>
      <c r="E10" s="2"/>
      <c r="F10" s="2"/>
      <c r="G10" s="2"/>
      <c r="H10" s="2"/>
      <c r="I10" s="2"/>
      <c r="J10" s="3"/>
    </row>
    <row r="11">
      <c r="A11" s="4" t="s">
        <v>48</v>
      </c>
      <c r="B11" s="4" t="s">
        <v>49</v>
      </c>
      <c r="C11" s="4" t="s">
        <v>50</v>
      </c>
      <c r="D11" s="4" t="s">
        <v>51</v>
      </c>
      <c r="E11" s="4" t="s">
        <v>31</v>
      </c>
      <c r="F11" s="4" t="s">
        <v>32</v>
      </c>
      <c r="G11" s="4" t="s">
        <v>33</v>
      </c>
      <c r="H11" s="4" t="s">
        <v>34</v>
      </c>
      <c r="I11" s="4" t="s">
        <v>35</v>
      </c>
      <c r="J11" s="4" t="s">
        <v>41</v>
      </c>
    </row>
    <row r="12">
      <c r="A12" s="5">
        <v>1.0</v>
      </c>
      <c r="B12" s="5" t="s">
        <v>52</v>
      </c>
      <c r="C12" s="5">
        <v>2.6</v>
      </c>
      <c r="D12" s="5">
        <v>2.0E-10</v>
      </c>
      <c r="E12" s="5" t="s">
        <v>53</v>
      </c>
      <c r="F12" s="5" t="s">
        <v>54</v>
      </c>
      <c r="G12" s="5" t="s">
        <v>55</v>
      </c>
      <c r="H12" s="5" t="s">
        <v>56</v>
      </c>
      <c r="I12" s="5" t="s">
        <v>41</v>
      </c>
      <c r="J12" s="5" t="s">
        <v>41</v>
      </c>
    </row>
    <row r="13">
      <c r="A13" s="5">
        <v>2.0</v>
      </c>
      <c r="B13" s="5" t="s">
        <v>42</v>
      </c>
      <c r="C13" s="5">
        <v>2.7</v>
      </c>
      <c r="D13" s="5">
        <v>1.0E-10</v>
      </c>
      <c r="E13" s="5" t="s">
        <v>53</v>
      </c>
      <c r="F13" s="5" t="s">
        <v>57</v>
      </c>
      <c r="G13" s="5" t="s">
        <v>55</v>
      </c>
      <c r="H13" s="5" t="s">
        <v>56</v>
      </c>
      <c r="I13" s="5" t="s">
        <v>41</v>
      </c>
      <c r="J13" s="5" t="s">
        <v>41</v>
      </c>
    </row>
    <row r="14">
      <c r="A14" s="5">
        <v>3.0</v>
      </c>
      <c r="B14" s="5" t="s">
        <v>58</v>
      </c>
      <c r="C14" s="5">
        <v>2.8</v>
      </c>
      <c r="D14" s="5">
        <v>5.0E-11</v>
      </c>
      <c r="E14" s="5" t="s">
        <v>53</v>
      </c>
      <c r="F14" s="5" t="s">
        <v>59</v>
      </c>
      <c r="G14" s="5" t="s">
        <v>55</v>
      </c>
      <c r="H14" s="5" t="s">
        <v>56</v>
      </c>
      <c r="I14" s="5" t="s">
        <v>41</v>
      </c>
      <c r="J14" s="5" t="s">
        <v>41</v>
      </c>
    </row>
    <row r="17">
      <c r="A17" s="1" t="s">
        <v>60</v>
      </c>
      <c r="B17" s="2"/>
      <c r="C17" s="2"/>
      <c r="D17" s="2"/>
      <c r="E17" s="2"/>
      <c r="F17" s="2"/>
      <c r="G17" s="2"/>
      <c r="H17" s="2"/>
      <c r="I17" s="2"/>
      <c r="J17" s="3"/>
    </row>
    <row r="18">
      <c r="A18" s="4" t="s">
        <v>61</v>
      </c>
      <c r="B18" s="4" t="s">
        <v>62</v>
      </c>
      <c r="C18" s="4" t="s">
        <v>63</v>
      </c>
      <c r="D18" s="4" t="s">
        <v>64</v>
      </c>
      <c r="E18" s="4" t="s">
        <v>65</v>
      </c>
      <c r="F18" s="4" t="s">
        <v>66</v>
      </c>
      <c r="G18" s="4" t="s">
        <v>31</v>
      </c>
      <c r="H18" s="4" t="s">
        <v>33</v>
      </c>
      <c r="I18" s="4" t="s">
        <v>35</v>
      </c>
      <c r="J18" s="4" t="s">
        <v>41</v>
      </c>
    </row>
    <row r="19">
      <c r="A19" s="5">
        <v>1.0</v>
      </c>
      <c r="B19" s="5" t="s">
        <v>67</v>
      </c>
      <c r="C19" s="5">
        <v>293.15</v>
      </c>
      <c r="D19" s="5">
        <v>1.0</v>
      </c>
      <c r="E19" s="5" t="s">
        <v>68</v>
      </c>
      <c r="F19" s="5">
        <v>5.0</v>
      </c>
      <c r="G19" s="5" t="s">
        <v>69</v>
      </c>
      <c r="H19" s="5" t="s">
        <v>55</v>
      </c>
      <c r="I19" s="5" t="s">
        <v>41</v>
      </c>
      <c r="J19" s="5" t="s">
        <v>41</v>
      </c>
    </row>
    <row r="20">
      <c r="A20" s="5">
        <v>2.0</v>
      </c>
      <c r="B20" s="5" t="s">
        <v>70</v>
      </c>
      <c r="C20" s="5">
        <v>298.15</v>
      </c>
      <c r="D20" s="5">
        <v>2.0</v>
      </c>
      <c r="E20" s="5" t="s">
        <v>42</v>
      </c>
      <c r="F20" s="5">
        <v>8.0</v>
      </c>
      <c r="G20" s="5" t="s">
        <v>69</v>
      </c>
      <c r="H20" s="5" t="s">
        <v>55</v>
      </c>
      <c r="I20" s="5" t="s">
        <v>41</v>
      </c>
      <c r="J20" s="5" t="s">
        <v>41</v>
      </c>
    </row>
    <row r="21" ht="15.75" customHeight="1">
      <c r="A21" s="5">
        <v>3.0</v>
      </c>
      <c r="B21" s="5" t="s">
        <v>71</v>
      </c>
      <c r="C21" s="5">
        <v>303.15</v>
      </c>
      <c r="D21" s="5">
        <v>3.0</v>
      </c>
      <c r="E21" s="5" t="s">
        <v>72</v>
      </c>
      <c r="F21" s="5">
        <v>12.0</v>
      </c>
      <c r="G21" s="5" t="s">
        <v>69</v>
      </c>
      <c r="H21" s="5" t="s">
        <v>55</v>
      </c>
      <c r="I21" s="5" t="s">
        <v>41</v>
      </c>
      <c r="J21" s="5" t="s">
        <v>41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J1"/>
    <mergeCell ref="A3:J3"/>
    <mergeCell ref="A10:J10"/>
    <mergeCell ref="A17:J1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 width="42.86"/>
    <col customWidth="1" min="3" max="3" width="51.57"/>
    <col customWidth="1" min="4" max="4" width="20.14"/>
    <col customWidth="1" min="5" max="5" width="85.57"/>
    <col customWidth="1" min="6" max="6" width="26.0"/>
    <col customWidth="1" min="7" max="26" width="9.0"/>
  </cols>
  <sheetData>
    <row r="1">
      <c r="A1" s="1" t="s">
        <v>73</v>
      </c>
      <c r="B1" s="2"/>
      <c r="C1" s="2"/>
      <c r="D1" s="2"/>
      <c r="E1" s="2"/>
      <c r="F1" s="3"/>
    </row>
    <row r="3">
      <c r="A3" s="4" t="s">
        <v>74</v>
      </c>
      <c r="B3" s="4" t="s">
        <v>75</v>
      </c>
      <c r="C3" s="4" t="s">
        <v>76</v>
      </c>
      <c r="D3" s="4" t="s">
        <v>77</v>
      </c>
      <c r="E3" s="4" t="s">
        <v>78</v>
      </c>
    </row>
    <row r="4">
      <c r="A4" s="5" t="s">
        <v>79</v>
      </c>
      <c r="B4" s="5" t="s">
        <v>80</v>
      </c>
      <c r="C4" s="5" t="s">
        <v>81</v>
      </c>
      <c r="D4" s="5" t="s">
        <v>82</v>
      </c>
      <c r="E4" s="5" t="s">
        <v>83</v>
      </c>
    </row>
    <row r="5">
      <c r="A5" s="5" t="s">
        <v>84</v>
      </c>
      <c r="B5" s="5" t="s">
        <v>85</v>
      </c>
      <c r="C5" s="5" t="s">
        <v>81</v>
      </c>
      <c r="D5" s="5" t="s">
        <v>82</v>
      </c>
      <c r="E5" s="5" t="s">
        <v>86</v>
      </c>
    </row>
    <row r="6">
      <c r="A6" s="5" t="s">
        <v>87</v>
      </c>
      <c r="B6" s="5" t="s">
        <v>88</v>
      </c>
      <c r="C6" s="5" t="s">
        <v>81</v>
      </c>
      <c r="D6" s="5" t="s">
        <v>82</v>
      </c>
      <c r="E6" s="5" t="s">
        <v>89</v>
      </c>
    </row>
    <row r="7">
      <c r="A7" s="5" t="s">
        <v>90</v>
      </c>
      <c r="B7" s="5" t="s">
        <v>91</v>
      </c>
      <c r="C7" s="5" t="s">
        <v>92</v>
      </c>
      <c r="D7" s="5" t="s">
        <v>93</v>
      </c>
      <c r="E7" s="5" t="s">
        <v>94</v>
      </c>
    </row>
    <row r="8">
      <c r="A8" s="5" t="s">
        <v>95</v>
      </c>
      <c r="B8" s="5" t="s">
        <v>96</v>
      </c>
      <c r="C8" s="5" t="s">
        <v>92</v>
      </c>
      <c r="D8" s="5" t="s">
        <v>93</v>
      </c>
      <c r="E8" s="5" t="s">
        <v>97</v>
      </c>
    </row>
    <row r="9">
      <c r="A9" s="5" t="s">
        <v>98</v>
      </c>
      <c r="B9" s="5" t="s">
        <v>99</v>
      </c>
      <c r="C9" s="5" t="s">
        <v>92</v>
      </c>
      <c r="D9" s="5" t="s">
        <v>93</v>
      </c>
      <c r="E9" s="5" t="s">
        <v>89</v>
      </c>
    </row>
    <row r="10">
      <c r="A10" s="5" t="s">
        <v>100</v>
      </c>
      <c r="B10" s="5" t="s">
        <v>101</v>
      </c>
      <c r="C10" s="5" t="s">
        <v>92</v>
      </c>
      <c r="D10" s="5" t="s">
        <v>102</v>
      </c>
      <c r="E10" s="5" t="s">
        <v>89</v>
      </c>
    </row>
    <row r="11">
      <c r="A11" s="5" t="s">
        <v>103</v>
      </c>
      <c r="B11" s="5" t="s">
        <v>104</v>
      </c>
      <c r="C11" s="5" t="s">
        <v>92</v>
      </c>
      <c r="D11" s="5" t="s">
        <v>105</v>
      </c>
      <c r="E11" s="5"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3" width="8.0"/>
    <col customWidth="1" min="4" max="4" width="9.0"/>
    <col customWidth="1" min="5" max="6" width="10.0"/>
    <col customWidth="1" min="7" max="7" width="12.0"/>
    <col customWidth="1" min="8" max="8" width="18.0"/>
    <col customWidth="1" min="9" max="12" width="12.0"/>
    <col customWidth="1" min="13" max="13" width="11.0"/>
    <col customWidth="1" min="14" max="14" width="12.0"/>
    <col customWidth="1" min="15" max="15" width="14.0"/>
    <col customWidth="1" min="16" max="16" width="16.0"/>
    <col customWidth="1" min="17" max="17" width="20.0"/>
    <col customWidth="1" min="18" max="18" width="11.57"/>
    <col customWidth="1" min="19" max="19" width="13.86"/>
    <col customWidth="1" min="20" max="20" width="16.71"/>
    <col customWidth="1" min="21" max="21" width="16.14"/>
    <col customWidth="1" min="22" max="22" width="15.29"/>
    <col customWidth="1" min="23" max="23" width="14.29"/>
    <col customWidth="1" min="24" max="24" width="8.0"/>
    <col customWidth="1" min="25" max="25" width="12.71"/>
    <col customWidth="1" min="26" max="26" width="15.29"/>
    <col customWidth="1" min="27" max="27" width="10.71"/>
    <col customWidth="1" min="28" max="28" width="10.86"/>
    <col customWidth="1" min="29" max="29" width="10.71"/>
    <col customWidth="1" min="30" max="30" width="10.86"/>
    <col customWidth="1" min="31" max="31" width="14.71"/>
    <col customWidth="1" min="32" max="32" width="16.29"/>
    <col customWidth="1" min="33" max="33" width="16.43"/>
    <col customWidth="1" min="34" max="34" width="16.29"/>
    <col customWidth="1" min="35" max="35" width="16.43"/>
    <col customWidth="1" min="36" max="36" width="19.0"/>
    <col customWidth="1" min="37" max="37" width="17.29"/>
    <col customWidth="1" min="38" max="38" width="18.57"/>
    <col customWidth="1" min="39" max="39" width="17.29"/>
    <col customWidth="1" min="40" max="40" width="18.57"/>
    <col customWidth="1" min="41" max="41" width="19.86"/>
    <col customWidth="1" min="42" max="42" width="15.14"/>
    <col customWidth="1" min="43" max="43" width="16.43"/>
    <col customWidth="1" min="44" max="44" width="15.14"/>
    <col customWidth="1" min="45" max="45" width="16.43"/>
    <col customWidth="1" min="46" max="46" width="22.43"/>
    <col customWidth="1" min="47" max="47" width="12.0"/>
    <col customWidth="1" min="48" max="48" width="17.29"/>
    <col customWidth="1" min="49" max="49" width="15.43"/>
    <col customWidth="1" min="50" max="50" width="16.43"/>
  </cols>
  <sheetData>
    <row r="1">
      <c r="A1" s="1" t="s">
        <v>107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8"/>
      <c r="AW1" s="8"/>
      <c r="AX1" s="8"/>
    </row>
    <row r="3">
      <c r="A3" s="4" t="s">
        <v>108</v>
      </c>
      <c r="B3" s="4" t="s">
        <v>109</v>
      </c>
      <c r="C3" s="4" t="s">
        <v>110</v>
      </c>
      <c r="D3" s="4" t="s">
        <v>111</v>
      </c>
      <c r="E3" s="4" t="s">
        <v>112</v>
      </c>
      <c r="F3" s="4" t="s">
        <v>63</v>
      </c>
      <c r="G3" s="4" t="s">
        <v>66</v>
      </c>
      <c r="H3" s="4" t="s">
        <v>27</v>
      </c>
      <c r="I3" s="4" t="s">
        <v>28</v>
      </c>
      <c r="J3" s="4" t="s">
        <v>29</v>
      </c>
      <c r="K3" s="4" t="s">
        <v>30</v>
      </c>
      <c r="L3" s="4" t="s">
        <v>113</v>
      </c>
      <c r="M3" s="4" t="s">
        <v>114</v>
      </c>
      <c r="N3" s="4" t="s">
        <v>115</v>
      </c>
      <c r="O3" s="4" t="s">
        <v>116</v>
      </c>
      <c r="P3" s="4" t="s">
        <v>117</v>
      </c>
      <c r="Q3" s="4" t="s">
        <v>49</v>
      </c>
      <c r="R3" s="4" t="s">
        <v>50</v>
      </c>
      <c r="S3" s="9" t="s">
        <v>118</v>
      </c>
      <c r="T3" s="4" t="s">
        <v>103</v>
      </c>
      <c r="U3" s="4" t="s">
        <v>100</v>
      </c>
      <c r="V3" s="4" t="s">
        <v>98</v>
      </c>
      <c r="W3" s="4" t="s">
        <v>119</v>
      </c>
      <c r="X3" s="4" t="s">
        <v>120</v>
      </c>
      <c r="Y3" s="4" t="s">
        <v>87</v>
      </c>
      <c r="Z3" s="4" t="s">
        <v>121</v>
      </c>
      <c r="AA3" s="4" t="s">
        <v>122</v>
      </c>
      <c r="AB3" s="4" t="s">
        <v>123</v>
      </c>
      <c r="AC3" s="4" t="s">
        <v>124</v>
      </c>
      <c r="AD3" s="4" t="s">
        <v>125</v>
      </c>
      <c r="AE3" s="4" t="s">
        <v>126</v>
      </c>
      <c r="AF3" s="4" t="s">
        <v>127</v>
      </c>
      <c r="AG3" s="4" t="s">
        <v>128</v>
      </c>
      <c r="AH3" s="4" t="s">
        <v>129</v>
      </c>
      <c r="AI3" s="4" t="s">
        <v>130</v>
      </c>
      <c r="AJ3" s="4" t="s">
        <v>131</v>
      </c>
      <c r="AK3" s="4" t="s">
        <v>132</v>
      </c>
      <c r="AL3" s="4" t="s">
        <v>133</v>
      </c>
      <c r="AM3" s="4" t="s">
        <v>134</v>
      </c>
      <c r="AN3" s="4" t="s">
        <v>135</v>
      </c>
      <c r="AO3" s="4" t="s">
        <v>136</v>
      </c>
      <c r="AP3" s="4" t="s">
        <v>137</v>
      </c>
      <c r="AQ3" s="4" t="s">
        <v>138</v>
      </c>
      <c r="AR3" s="4" t="s">
        <v>139</v>
      </c>
      <c r="AS3" s="4" t="s">
        <v>140</v>
      </c>
      <c r="AT3" s="4" t="s">
        <v>141</v>
      </c>
      <c r="AU3" s="4" t="s">
        <v>142</v>
      </c>
      <c r="AV3" s="10" t="s">
        <v>143</v>
      </c>
      <c r="AW3" s="10" t="s">
        <v>144</v>
      </c>
      <c r="AX3" s="10" t="s">
        <v>145</v>
      </c>
    </row>
    <row r="4">
      <c r="A4" s="5">
        <v>1.0</v>
      </c>
      <c r="B4" s="5">
        <v>1.0</v>
      </c>
      <c r="C4" s="5">
        <v>1.0</v>
      </c>
      <c r="D4" s="5">
        <v>1.0</v>
      </c>
      <c r="E4" s="5">
        <v>1.0</v>
      </c>
      <c r="F4" s="11">
        <v>293.15</v>
      </c>
      <c r="G4" s="11">
        <v>5.0</v>
      </c>
      <c r="H4" s="12" t="s">
        <v>36</v>
      </c>
      <c r="I4" s="12">
        <v>500.0</v>
      </c>
      <c r="J4" s="12">
        <v>2750.0</v>
      </c>
      <c r="K4" s="13">
        <v>186000.0</v>
      </c>
      <c r="L4" s="14">
        <f>Assumptions!$B$6</f>
        <v>0.00016558</v>
      </c>
      <c r="M4" s="6">
        <f t="shared" ref="M4:M30" si="1">I4*L4</f>
        <v>0.08279</v>
      </c>
      <c r="N4" s="6">
        <f>M4*J4*(Assumptions!$B$5-Assumptions!$B$4)</f>
        <v>2276.725</v>
      </c>
      <c r="O4" s="6">
        <f>Assumptions!$B$7</f>
        <v>5</v>
      </c>
      <c r="P4" s="6">
        <f t="shared" ref="P4:P30" si="2">N4+(O4/1000)*K4</f>
        <v>3206.725</v>
      </c>
      <c r="Q4" s="12" t="s">
        <v>52</v>
      </c>
      <c r="R4" s="15">
        <v>2.58</v>
      </c>
      <c r="S4" s="16">
        <v>5.0E-12</v>
      </c>
      <c r="T4" s="17">
        <v>1.5219E-5</v>
      </c>
      <c r="U4" s="17">
        <v>1.3264E-6</v>
      </c>
      <c r="V4" s="17">
        <v>0.0010611</v>
      </c>
      <c r="W4" s="18">
        <f t="shared" ref="W4:W30" si="3">IF(V4="","",V4*1000)</f>
        <v>1.0611</v>
      </c>
      <c r="X4" s="18">
        <f t="shared" ref="X4:X30" si="4">IF(OR(U4="",T4=""),"",U4/T4)</f>
        <v>0.08715421513</v>
      </c>
      <c r="Y4" s="17">
        <v>2934.3</v>
      </c>
      <c r="Z4" s="19">
        <f t="shared" ref="Z4:Z30" si="5">IF(OR(Y4="",N4="",K4=""),"",MAX(0,(Y4-N4)/K4)*1000)</f>
        <v>3.535349462</v>
      </c>
      <c r="AA4" s="20">
        <v>1280.0</v>
      </c>
      <c r="AB4" s="17">
        <v>2254.5</v>
      </c>
      <c r="AC4" s="20">
        <v>1300.0</v>
      </c>
      <c r="AD4" s="17">
        <v>2282.1</v>
      </c>
      <c r="AE4" s="19">
        <f t="shared" ref="AE4:AE30" si="6">IF(OR(AA4="",AB4="",AC4="",AD4=""),"",AA4+(N4-AB4)/(AD4-AB4)*(AC4-AA4))</f>
        <v>1296.105072</v>
      </c>
      <c r="AF4" s="20">
        <v>2040.0</v>
      </c>
      <c r="AG4" s="17">
        <v>3184.7</v>
      </c>
      <c r="AH4" s="20">
        <v>2060.0</v>
      </c>
      <c r="AI4" s="17">
        <v>3207.3</v>
      </c>
      <c r="AJ4" s="19">
        <f t="shared" ref="AJ4:AJ30" si="7">IF(OR(AF4="",AG4="",AH4="",AI4=""),"",AF4+(P4-AG4)/(AI4-AG4)*(AH4-AF4))</f>
        <v>2059.49115</v>
      </c>
      <c r="AK4" s="20">
        <v>1293.7</v>
      </c>
      <c r="AL4" s="21">
        <v>0.11762</v>
      </c>
      <c r="AM4" s="22">
        <v>1293.8</v>
      </c>
      <c r="AN4" s="21">
        <v>0.12938</v>
      </c>
      <c r="AO4" s="6">
        <f>IF(OR(AK4="",AL4="",AM4="",AN4=""),"",AK4+(Assumptions!$B$8-AL4)/(AN4-AL4)*(AM4-AK4))</f>
        <v>1297.801871</v>
      </c>
      <c r="AP4" s="22">
        <v>1294.7</v>
      </c>
      <c r="AQ4" s="21">
        <v>0.25835</v>
      </c>
      <c r="AR4" s="22">
        <v>1294.8</v>
      </c>
      <c r="AS4" s="21">
        <v>0.27523</v>
      </c>
      <c r="AT4" s="6">
        <f>IF(OR(AP4="",AQ4="",AR4="",AS4=""),"",AP4+(Assumptions!$B$9-AQ4)/(AS4-AQ4)*(AR4-AP4))</f>
        <v>1297.908827</v>
      </c>
      <c r="AU4" s="6">
        <f t="shared" ref="AU4:AU30" si="8">IF(AND(AJ4="",AO4=""),"",IF(AJ4="",AO4,IF(AO4="",AJ4,MIN(AJ4,AO4))))</f>
        <v>1297.801871</v>
      </c>
      <c r="AV4" s="23">
        <f t="shared" ref="AV4:AV30" si="9">200000 * T4</f>
        <v>3.0438</v>
      </c>
      <c r="AW4" s="23">
        <f t="shared" ref="AW4:AW30" si="10">0.075*AV4</f>
        <v>0.228285</v>
      </c>
      <c r="AX4" s="24">
        <f t="shared" ref="AX4:AX30" si="11">0.225*AV4</f>
        <v>0.684855</v>
      </c>
    </row>
    <row r="5">
      <c r="A5" s="5">
        <v>2.0</v>
      </c>
      <c r="B5" s="5">
        <v>1.0</v>
      </c>
      <c r="C5" s="5">
        <v>1.0</v>
      </c>
      <c r="D5" s="5">
        <v>2.0</v>
      </c>
      <c r="E5" s="5">
        <v>2.0</v>
      </c>
      <c r="F5" s="11">
        <v>293.15</v>
      </c>
      <c r="G5" s="11">
        <v>5.0</v>
      </c>
      <c r="H5" s="12" t="s">
        <v>42</v>
      </c>
      <c r="I5" s="12">
        <v>550.0</v>
      </c>
      <c r="J5" s="12">
        <v>2750.0</v>
      </c>
      <c r="K5" s="13">
        <v>200000.0</v>
      </c>
      <c r="L5" s="14">
        <f>Assumptions!$B$6</f>
        <v>0.00016558</v>
      </c>
      <c r="M5" s="6">
        <f t="shared" si="1"/>
        <v>0.091069</v>
      </c>
      <c r="N5" s="6">
        <f>M5*J5*(Assumptions!$B$5-Assumptions!$B$4)</f>
        <v>2504.3975</v>
      </c>
      <c r="O5" s="6">
        <f>Assumptions!$B$7</f>
        <v>5</v>
      </c>
      <c r="P5" s="6">
        <f t="shared" si="2"/>
        <v>3504.3975</v>
      </c>
      <c r="Q5" s="12" t="s">
        <v>42</v>
      </c>
      <c r="R5" s="15">
        <v>2.68</v>
      </c>
      <c r="S5" s="16">
        <v>6.0E-11</v>
      </c>
      <c r="T5" s="17">
        <v>1.5923E-5</v>
      </c>
      <c r="U5" s="25">
        <v>1.6256E-6</v>
      </c>
      <c r="V5" s="17">
        <v>6.1873E-4</v>
      </c>
      <c r="W5" s="26">
        <f t="shared" si="3"/>
        <v>0.61873</v>
      </c>
      <c r="X5" s="26">
        <f t="shared" si="4"/>
        <v>0.1020913145</v>
      </c>
      <c r="Y5" s="25">
        <v>2995.8</v>
      </c>
      <c r="Z5" s="6">
        <f t="shared" si="5"/>
        <v>2.4570125</v>
      </c>
      <c r="AA5" s="22">
        <v>1420.0</v>
      </c>
      <c r="AB5" s="25">
        <v>2483.5</v>
      </c>
      <c r="AC5" s="22">
        <v>1440.0</v>
      </c>
      <c r="AD5" s="25">
        <v>2511.7</v>
      </c>
      <c r="AE5" s="6">
        <f t="shared" si="6"/>
        <v>1434.820922</v>
      </c>
      <c r="AF5" s="22">
        <v>2240.0</v>
      </c>
      <c r="AG5" s="25">
        <v>3504.2</v>
      </c>
      <c r="AH5" s="22">
        <v>2260.0</v>
      </c>
      <c r="AI5" s="25">
        <v>3526.9</v>
      </c>
      <c r="AJ5" s="6">
        <f t="shared" si="7"/>
        <v>2240.174009</v>
      </c>
      <c r="AK5" s="22">
        <v>1720.0</v>
      </c>
      <c r="AL5" s="21">
        <v>0.5998</v>
      </c>
      <c r="AM5" s="22">
        <v>1740.0</v>
      </c>
      <c r="AN5" s="21">
        <v>0.60453</v>
      </c>
      <c r="AO5" s="6">
        <f>IF(OR(AK5="",AL5="",AM5="",AN5=""),"",AK5+(Assumptions!$B$8-AL5)/(AN5-AL5)*(AM5-AK5))</f>
        <v>1720.845666</v>
      </c>
      <c r="AP5" s="22">
        <v>2660.0</v>
      </c>
      <c r="AQ5" s="21">
        <v>0.79937</v>
      </c>
      <c r="AR5" s="22">
        <v>2680.0</v>
      </c>
      <c r="AS5" s="21">
        <v>0.8032</v>
      </c>
      <c r="AT5" s="6">
        <f>IF(OR(AP5="",AQ5="",AR5="",AS5=""),"",AP5+(Assumptions!$B$9-AQ5)/(AS5-AQ5)*(AR5-AP5))</f>
        <v>2663.289817</v>
      </c>
      <c r="AU5" s="6">
        <f t="shared" si="8"/>
        <v>1720.845666</v>
      </c>
      <c r="AV5" s="23">
        <f t="shared" si="9"/>
        <v>3.1846</v>
      </c>
      <c r="AW5" s="23">
        <f t="shared" si="10"/>
        <v>0.238845</v>
      </c>
      <c r="AX5" s="24">
        <f t="shared" si="11"/>
        <v>0.716535</v>
      </c>
    </row>
    <row r="6">
      <c r="A6" s="5">
        <v>3.0</v>
      </c>
      <c r="B6" s="5">
        <v>1.0</v>
      </c>
      <c r="C6" s="5">
        <v>1.0</v>
      </c>
      <c r="D6" s="5">
        <v>3.0</v>
      </c>
      <c r="E6" s="5">
        <v>3.0</v>
      </c>
      <c r="F6" s="11">
        <v>293.15</v>
      </c>
      <c r="G6" s="11">
        <v>5.0</v>
      </c>
      <c r="H6" s="12" t="s">
        <v>45</v>
      </c>
      <c r="I6" s="12">
        <v>600.0</v>
      </c>
      <c r="J6" s="12">
        <v>2750.0</v>
      </c>
      <c r="K6" s="13">
        <v>204000.0</v>
      </c>
      <c r="L6" s="14">
        <f>Assumptions!$B$6</f>
        <v>0.00016558</v>
      </c>
      <c r="M6" s="6">
        <f t="shared" si="1"/>
        <v>0.099348</v>
      </c>
      <c r="N6" s="6">
        <f>M6*J6*(Assumptions!$B$5-Assumptions!$B$4)</f>
        <v>2732.07</v>
      </c>
      <c r="O6" s="6">
        <f>Assumptions!$B$7</f>
        <v>5</v>
      </c>
      <c r="P6" s="6">
        <f t="shared" si="2"/>
        <v>3752.07</v>
      </c>
      <c r="Q6" s="12" t="s">
        <v>58</v>
      </c>
      <c r="R6" s="15">
        <v>2.77</v>
      </c>
      <c r="S6" s="16">
        <v>2.0E-11</v>
      </c>
      <c r="T6" s="17">
        <v>1.6565E-5</v>
      </c>
      <c r="U6" s="25">
        <v>1.4339E-6</v>
      </c>
      <c r="V6" s="17">
        <v>5.6358E-4</v>
      </c>
      <c r="W6" s="26">
        <f t="shared" si="3"/>
        <v>0.56358</v>
      </c>
      <c r="X6" s="26">
        <f t="shared" si="4"/>
        <v>0.08656202837</v>
      </c>
      <c r="Y6" s="25">
        <v>3040.2</v>
      </c>
      <c r="Z6" s="6">
        <f t="shared" si="5"/>
        <v>1.510441176</v>
      </c>
      <c r="AA6" s="22">
        <v>1560.0</v>
      </c>
      <c r="AB6" s="25">
        <v>2713.0</v>
      </c>
      <c r="AC6" s="22">
        <v>1580.0</v>
      </c>
      <c r="AD6" s="25">
        <v>2740.9</v>
      </c>
      <c r="AE6" s="6">
        <f t="shared" si="6"/>
        <v>1573.670251</v>
      </c>
      <c r="AF6" s="22">
        <v>2380.0</v>
      </c>
      <c r="AG6" s="25">
        <v>3748.8</v>
      </c>
      <c r="AH6" s="22">
        <v>2400.0</v>
      </c>
      <c r="AI6" s="25">
        <v>3771.5</v>
      </c>
      <c r="AJ6" s="6">
        <f t="shared" si="7"/>
        <v>2382.881057</v>
      </c>
      <c r="AK6" s="22">
        <v>2240.0</v>
      </c>
      <c r="AL6" s="21">
        <v>0.59916</v>
      </c>
      <c r="AM6" s="22">
        <v>2260.0</v>
      </c>
      <c r="AN6" s="21">
        <v>0.60073</v>
      </c>
      <c r="AO6" s="6">
        <f>IF(OR(AK6="",AL6="",AM6="",AN6=""),"",AK6+(Assumptions!$B$8-AL6)/(AN6-AL6)*(AM6-AK6))</f>
        <v>2250.700637</v>
      </c>
      <c r="AP6" s="22">
        <v>5060.0</v>
      </c>
      <c r="AQ6" s="21">
        <v>0.79896</v>
      </c>
      <c r="AR6" s="22">
        <v>5080.0</v>
      </c>
      <c r="AS6" s="21">
        <v>0.80024</v>
      </c>
      <c r="AT6" s="6">
        <f>IF(OR(AP6="",AQ6="",AR6="",AS6=""),"",AP6+(Assumptions!$B$9-AQ6)/(AS6-AQ6)*(AR6-AP6))</f>
        <v>5076.25</v>
      </c>
      <c r="AU6" s="6">
        <f t="shared" si="8"/>
        <v>2250.700637</v>
      </c>
      <c r="AV6" s="23">
        <f t="shared" si="9"/>
        <v>3.313</v>
      </c>
      <c r="AW6" s="23">
        <f t="shared" si="10"/>
        <v>0.248475</v>
      </c>
      <c r="AX6" s="24">
        <f t="shared" si="11"/>
        <v>0.745425</v>
      </c>
    </row>
    <row r="7">
      <c r="A7" s="5">
        <v>4.0</v>
      </c>
      <c r="B7" s="5">
        <v>1.0</v>
      </c>
      <c r="C7" s="5">
        <v>2.0</v>
      </c>
      <c r="D7" s="5">
        <v>1.0</v>
      </c>
      <c r="E7" s="5">
        <v>2.0</v>
      </c>
      <c r="F7" s="11">
        <v>293.15</v>
      </c>
      <c r="G7" s="11">
        <v>8.0</v>
      </c>
      <c r="H7" s="12" t="s">
        <v>36</v>
      </c>
      <c r="I7" s="12">
        <v>500.0</v>
      </c>
      <c r="J7" s="12">
        <v>2750.0</v>
      </c>
      <c r="K7" s="13">
        <v>186000.0</v>
      </c>
      <c r="L7" s="14">
        <f>Assumptions!$B$6</f>
        <v>0.00016558</v>
      </c>
      <c r="M7" s="6">
        <f t="shared" si="1"/>
        <v>0.08279</v>
      </c>
      <c r="N7" s="6">
        <f>M7*J7*(Assumptions!$B$5-Assumptions!$B$4)</f>
        <v>2276.725</v>
      </c>
      <c r="O7" s="6">
        <f>Assumptions!$B$7</f>
        <v>5</v>
      </c>
      <c r="P7" s="6">
        <f t="shared" si="2"/>
        <v>3206.725</v>
      </c>
      <c r="Q7" s="12" t="s">
        <v>42</v>
      </c>
      <c r="R7" s="15">
        <v>2.68</v>
      </c>
      <c r="S7" s="16">
        <v>2.0E-11</v>
      </c>
      <c r="T7" s="17">
        <v>1.5923E-5</v>
      </c>
      <c r="U7" s="25">
        <v>1.3825E-6</v>
      </c>
      <c r="V7" s="17">
        <v>6.0844E-4</v>
      </c>
      <c r="W7" s="26">
        <f t="shared" si="3"/>
        <v>0.60844</v>
      </c>
      <c r="X7" s="26">
        <f t="shared" si="4"/>
        <v>0.08682409094</v>
      </c>
      <c r="Y7" s="25">
        <v>3824.0</v>
      </c>
      <c r="Z7" s="6">
        <f t="shared" si="5"/>
        <v>8.318682796</v>
      </c>
      <c r="AA7" s="22">
        <v>880.0</v>
      </c>
      <c r="AB7" s="25">
        <v>2253.6</v>
      </c>
      <c r="AC7" s="22">
        <v>900.0</v>
      </c>
      <c r="AD7" s="25">
        <v>2293.6</v>
      </c>
      <c r="AE7" s="6">
        <f t="shared" si="6"/>
        <v>891.5625</v>
      </c>
      <c r="AF7" s="22">
        <v>1380.0</v>
      </c>
      <c r="AG7" s="25">
        <v>3178.0</v>
      </c>
      <c r="AH7" s="22">
        <v>1400.0</v>
      </c>
      <c r="AI7" s="25">
        <v>3211.9</v>
      </c>
      <c r="AJ7" s="6">
        <f t="shared" si="7"/>
        <v>1396.946903</v>
      </c>
      <c r="AK7" s="22">
        <v>1680.0</v>
      </c>
      <c r="AL7" s="21">
        <v>0.59902</v>
      </c>
      <c r="AM7" s="22">
        <v>1700.0</v>
      </c>
      <c r="AN7" s="21">
        <v>0.60061</v>
      </c>
      <c r="AO7" s="6">
        <f>IF(OR(AK7="",AL7="",AM7="",AN7=""),"",AK7+(Assumptions!$B$8-AL7)/(AN7-AL7)*(AM7-AK7))</f>
        <v>1692.327044</v>
      </c>
      <c r="AP7" s="22">
        <v>4520.0</v>
      </c>
      <c r="AQ7" s="21">
        <v>0.79989</v>
      </c>
      <c r="AR7" s="22">
        <v>4540.0</v>
      </c>
      <c r="AS7" s="21">
        <v>0.80117</v>
      </c>
      <c r="AT7" s="6">
        <f>IF(OR(AP7="",AQ7="",AR7="",AS7=""),"",AP7+(Assumptions!$B$9-AQ7)/(AS7-AQ7)*(AR7-AP7))</f>
        <v>4521.71875</v>
      </c>
      <c r="AU7" s="6">
        <f t="shared" si="8"/>
        <v>1396.946903</v>
      </c>
      <c r="AV7" s="23">
        <f t="shared" si="9"/>
        <v>3.1846</v>
      </c>
      <c r="AW7" s="23">
        <f t="shared" si="10"/>
        <v>0.238845</v>
      </c>
      <c r="AX7" s="24">
        <f t="shared" si="11"/>
        <v>0.716535</v>
      </c>
    </row>
    <row r="8">
      <c r="A8" s="5">
        <v>5.0</v>
      </c>
      <c r="B8" s="5">
        <v>1.0</v>
      </c>
      <c r="C8" s="5">
        <v>2.0</v>
      </c>
      <c r="D8" s="5">
        <v>2.0</v>
      </c>
      <c r="E8" s="5">
        <v>3.0</v>
      </c>
      <c r="F8" s="11">
        <v>293.15</v>
      </c>
      <c r="G8" s="11">
        <v>8.0</v>
      </c>
      <c r="H8" s="12" t="s">
        <v>42</v>
      </c>
      <c r="I8" s="12">
        <v>550.0</v>
      </c>
      <c r="J8" s="12">
        <v>2750.0</v>
      </c>
      <c r="K8" s="13">
        <v>200000.0</v>
      </c>
      <c r="L8" s="14">
        <f>Assumptions!$B$6</f>
        <v>0.00016558</v>
      </c>
      <c r="M8" s="6">
        <f t="shared" si="1"/>
        <v>0.091069</v>
      </c>
      <c r="N8" s="6">
        <f>M8*J8*(Assumptions!$B$5-Assumptions!$B$4)</f>
        <v>2504.3975</v>
      </c>
      <c r="O8" s="6">
        <f>Assumptions!$B$7</f>
        <v>5</v>
      </c>
      <c r="P8" s="6">
        <f t="shared" si="2"/>
        <v>3504.3975</v>
      </c>
      <c r="Q8" s="12" t="s">
        <v>58</v>
      </c>
      <c r="R8" s="15">
        <v>2.77</v>
      </c>
      <c r="S8" s="16">
        <v>5.0E-12</v>
      </c>
      <c r="T8" s="17">
        <v>1.6565E-5</v>
      </c>
      <c r="U8" s="25">
        <v>1.4091E-6</v>
      </c>
      <c r="V8" s="17">
        <v>5.622E-4</v>
      </c>
      <c r="W8" s="26">
        <f t="shared" si="3"/>
        <v>0.5622</v>
      </c>
      <c r="X8" s="26">
        <f t="shared" si="4"/>
        <v>0.08506489586</v>
      </c>
      <c r="Y8" s="25">
        <v>3937.4</v>
      </c>
      <c r="Z8" s="6">
        <f t="shared" si="5"/>
        <v>7.1650125</v>
      </c>
      <c r="AA8" s="22">
        <v>960.0</v>
      </c>
      <c r="AB8" s="25">
        <v>2500.2</v>
      </c>
      <c r="AC8" s="22">
        <v>980.0</v>
      </c>
      <c r="AD8" s="25">
        <v>2542.4</v>
      </c>
      <c r="AE8" s="6">
        <f t="shared" si="6"/>
        <v>961.9893365</v>
      </c>
      <c r="AF8" s="22">
        <v>1500.0</v>
      </c>
      <c r="AG8" s="25">
        <v>3486.1</v>
      </c>
      <c r="AH8" s="22">
        <v>1520.0</v>
      </c>
      <c r="AI8" s="25">
        <v>3518.0</v>
      </c>
      <c r="AJ8" s="6">
        <f t="shared" si="7"/>
        <v>1511.471787</v>
      </c>
      <c r="AK8" s="22">
        <v>3660.0</v>
      </c>
      <c r="AL8" s="21">
        <v>0.59978</v>
      </c>
      <c r="AM8" s="22">
        <v>3680.0</v>
      </c>
      <c r="AN8" s="21">
        <v>0.60018</v>
      </c>
      <c r="AO8" s="6">
        <f>IF(OR(AK8="",AL8="",AM8="",AN8=""),"",AK8+(Assumptions!$B$8-AL8)/(AN8-AL8)*(AM8-AK8))</f>
        <v>3671</v>
      </c>
      <c r="AP8" s="22">
        <v>14980.0</v>
      </c>
      <c r="AQ8" s="21">
        <v>0.79999</v>
      </c>
      <c r="AR8" s="22">
        <v>15000.0</v>
      </c>
      <c r="AS8" s="21">
        <v>0.80031</v>
      </c>
      <c r="AT8" s="6">
        <f>IF(OR(AP8="",AQ8="",AR8="",AS8=""),"",AP8+(Assumptions!$B$9-AQ8)/(AS8-AQ8)*(AR8-AP8))</f>
        <v>14980.625</v>
      </c>
      <c r="AU8" s="6">
        <f t="shared" si="8"/>
        <v>1511.471787</v>
      </c>
      <c r="AV8" s="23">
        <f t="shared" si="9"/>
        <v>3.313</v>
      </c>
      <c r="AW8" s="23">
        <f t="shared" si="10"/>
        <v>0.248475</v>
      </c>
      <c r="AX8" s="24">
        <f t="shared" si="11"/>
        <v>0.745425</v>
      </c>
    </row>
    <row r="9">
      <c r="A9" s="5">
        <v>6.0</v>
      </c>
      <c r="B9" s="5">
        <v>1.0</v>
      </c>
      <c r="C9" s="5">
        <v>2.0</v>
      </c>
      <c r="D9" s="5">
        <v>3.0</v>
      </c>
      <c r="E9" s="5">
        <v>1.0</v>
      </c>
      <c r="F9" s="11">
        <v>293.15</v>
      </c>
      <c r="G9" s="11">
        <v>8.0</v>
      </c>
      <c r="H9" s="12" t="s">
        <v>45</v>
      </c>
      <c r="I9" s="12">
        <v>600.0</v>
      </c>
      <c r="J9" s="12">
        <v>2750.0</v>
      </c>
      <c r="K9" s="13">
        <v>204000.0</v>
      </c>
      <c r="L9" s="14">
        <f>Assumptions!$B$6</f>
        <v>0.00016558</v>
      </c>
      <c r="M9" s="6">
        <f t="shared" si="1"/>
        <v>0.099348</v>
      </c>
      <c r="N9" s="6">
        <f>M9*J9*(Assumptions!$B$5-Assumptions!$B$4)</f>
        <v>2732.07</v>
      </c>
      <c r="O9" s="6">
        <f>Assumptions!$B$7</f>
        <v>5</v>
      </c>
      <c r="P9" s="6">
        <f t="shared" si="2"/>
        <v>3752.07</v>
      </c>
      <c r="Q9" s="12" t="s">
        <v>52</v>
      </c>
      <c r="R9" s="15">
        <v>2.58</v>
      </c>
      <c r="S9" s="16">
        <v>6.0E-11</v>
      </c>
      <c r="T9" s="17">
        <v>1.5219E-5</v>
      </c>
      <c r="U9" s="25">
        <v>1.7855E-6</v>
      </c>
      <c r="V9" s="17">
        <v>7.7944E-4</v>
      </c>
      <c r="W9" s="26">
        <f t="shared" si="3"/>
        <v>0.77944</v>
      </c>
      <c r="X9" s="26">
        <f t="shared" si="4"/>
        <v>0.1173204547</v>
      </c>
      <c r="Y9" s="25">
        <v>4146.3</v>
      </c>
      <c r="Z9" s="6">
        <f t="shared" si="5"/>
        <v>6.9325</v>
      </c>
      <c r="AA9" s="22">
        <v>1020.0</v>
      </c>
      <c r="AB9" s="25">
        <v>2698.3</v>
      </c>
      <c r="AC9" s="22">
        <v>1040.0</v>
      </c>
      <c r="AD9" s="25">
        <v>2741.2</v>
      </c>
      <c r="AE9" s="6">
        <f t="shared" si="6"/>
        <v>1035.74359</v>
      </c>
      <c r="AF9" s="22">
        <v>1560.0</v>
      </c>
      <c r="AG9" s="25">
        <v>3746.4</v>
      </c>
      <c r="AH9" s="22">
        <v>1580.0</v>
      </c>
      <c r="AI9" s="25">
        <v>3781.2</v>
      </c>
      <c r="AJ9" s="6">
        <f t="shared" si="7"/>
        <v>1563.258621</v>
      </c>
      <c r="AK9" s="22">
        <v>1340.0</v>
      </c>
      <c r="AL9" s="21">
        <v>0.59064</v>
      </c>
      <c r="AM9" s="22">
        <v>1360.0</v>
      </c>
      <c r="AN9" s="21">
        <v>0.60016</v>
      </c>
      <c r="AO9" s="6">
        <f>IF(OR(AK9="",AL9="",AM9="",AN9=""),"",AK9+(Assumptions!$B$8-AL9)/(AN9-AL9)*(AM9-AK9))</f>
        <v>1359.663866</v>
      </c>
      <c r="AP9" s="22">
        <v>2300.0</v>
      </c>
      <c r="AQ9" s="21">
        <v>0.79937</v>
      </c>
      <c r="AR9" s="22">
        <v>2320.0</v>
      </c>
      <c r="AS9" s="21">
        <v>0.8032</v>
      </c>
      <c r="AT9" s="6">
        <f>IF(OR(AP9="",AQ9="",AR9="",AS9=""),"",AP9+(Assumptions!$B$9-AQ9)/(AS9-AQ9)*(AR9-AP9))</f>
        <v>2303.289817</v>
      </c>
      <c r="AU9" s="6">
        <f t="shared" si="8"/>
        <v>1359.663866</v>
      </c>
      <c r="AV9" s="23">
        <f t="shared" si="9"/>
        <v>3.0438</v>
      </c>
      <c r="AW9" s="23">
        <f t="shared" si="10"/>
        <v>0.228285</v>
      </c>
      <c r="AX9" s="24">
        <f t="shared" si="11"/>
        <v>0.684855</v>
      </c>
    </row>
    <row r="10">
      <c r="A10" s="5">
        <v>7.0</v>
      </c>
      <c r="B10" s="5">
        <v>1.0</v>
      </c>
      <c r="C10" s="5">
        <v>3.0</v>
      </c>
      <c r="D10" s="5">
        <v>1.0</v>
      </c>
      <c r="E10" s="5">
        <v>3.0</v>
      </c>
      <c r="F10" s="11">
        <v>293.15</v>
      </c>
      <c r="G10" s="11">
        <v>12.0</v>
      </c>
      <c r="H10" s="12" t="s">
        <v>36</v>
      </c>
      <c r="I10" s="12">
        <v>500.0</v>
      </c>
      <c r="J10" s="12">
        <v>2750.0</v>
      </c>
      <c r="K10" s="13">
        <v>186000.0</v>
      </c>
      <c r="L10" s="14">
        <f>Assumptions!$B$6</f>
        <v>0.00016558</v>
      </c>
      <c r="M10" s="6">
        <f t="shared" si="1"/>
        <v>0.08279</v>
      </c>
      <c r="N10" s="6">
        <f>M10*J10*(Assumptions!$B$5-Assumptions!$B$4)</f>
        <v>2276.725</v>
      </c>
      <c r="O10" s="6">
        <f>Assumptions!$B$7</f>
        <v>5</v>
      </c>
      <c r="P10" s="6">
        <f t="shared" si="2"/>
        <v>3206.725</v>
      </c>
      <c r="Q10" s="12" t="s">
        <v>58</v>
      </c>
      <c r="R10" s="15">
        <v>2.77</v>
      </c>
      <c r="S10" s="16">
        <v>6.0E-11</v>
      </c>
      <c r="T10" s="17">
        <v>1.6565E-5</v>
      </c>
      <c r="U10" s="25">
        <v>1.7996E-6</v>
      </c>
      <c r="V10" s="17">
        <v>7.9904E-4</v>
      </c>
      <c r="W10" s="26">
        <f t="shared" si="3"/>
        <v>0.79904</v>
      </c>
      <c r="X10" s="26">
        <f t="shared" si="4"/>
        <v>0.108638696</v>
      </c>
      <c r="Y10" s="25">
        <v>4674.8</v>
      </c>
      <c r="Z10" s="6">
        <f t="shared" si="5"/>
        <v>12.89287634</v>
      </c>
      <c r="AA10" s="22">
        <v>620.0</v>
      </c>
      <c r="AB10" s="25">
        <v>2224.3</v>
      </c>
      <c r="AC10" s="22">
        <v>640.0</v>
      </c>
      <c r="AD10" s="25">
        <v>2280.7</v>
      </c>
      <c r="AE10" s="6">
        <f t="shared" si="6"/>
        <v>638.5904255</v>
      </c>
      <c r="AF10" s="22">
        <v>980.0</v>
      </c>
      <c r="AG10" s="25">
        <v>3180.4</v>
      </c>
      <c r="AH10" s="22">
        <v>1000.0</v>
      </c>
      <c r="AI10" s="25">
        <v>3227.2</v>
      </c>
      <c r="AJ10" s="6">
        <f t="shared" si="7"/>
        <v>991.25</v>
      </c>
      <c r="AK10" s="22">
        <v>860.0</v>
      </c>
      <c r="AL10" s="21">
        <v>0.59905</v>
      </c>
      <c r="AM10" s="22">
        <v>880.0</v>
      </c>
      <c r="AN10" s="21">
        <v>0.60381</v>
      </c>
      <c r="AO10" s="6">
        <f>IF(OR(AK10="",AL10="",AM10="",AN10=""),"",AK10+(Assumptions!$B$8-AL10)/(AN10-AL10)*(AM10-AK10))</f>
        <v>863.9915966</v>
      </c>
      <c r="AP10" s="22">
        <v>1800.0</v>
      </c>
      <c r="AQ10" s="21">
        <v>0.79903</v>
      </c>
      <c r="AR10" s="22">
        <v>1820.0</v>
      </c>
      <c r="AS10" s="21">
        <v>0.80286</v>
      </c>
      <c r="AT10" s="6">
        <f>IF(OR(AP10="",AQ10="",AR10="",AS10=""),"",AP10+(Assumptions!$B$9-AQ10)/(AS10-AQ10)*(AR10-AP10))</f>
        <v>1805.065274</v>
      </c>
      <c r="AU10" s="6">
        <f t="shared" si="8"/>
        <v>863.9915966</v>
      </c>
      <c r="AV10" s="23">
        <f t="shared" si="9"/>
        <v>3.313</v>
      </c>
      <c r="AW10" s="23">
        <f t="shared" si="10"/>
        <v>0.248475</v>
      </c>
      <c r="AX10" s="24">
        <f t="shared" si="11"/>
        <v>0.745425</v>
      </c>
    </row>
    <row r="11">
      <c r="A11" s="5">
        <v>8.0</v>
      </c>
      <c r="B11" s="5">
        <v>1.0</v>
      </c>
      <c r="C11" s="5">
        <v>3.0</v>
      </c>
      <c r="D11" s="5">
        <v>2.0</v>
      </c>
      <c r="E11" s="5">
        <v>1.0</v>
      </c>
      <c r="F11" s="11">
        <v>293.15</v>
      </c>
      <c r="G11" s="11">
        <v>12.0</v>
      </c>
      <c r="H11" s="12" t="s">
        <v>42</v>
      </c>
      <c r="I11" s="12">
        <v>550.0</v>
      </c>
      <c r="J11" s="12">
        <v>2750.0</v>
      </c>
      <c r="K11" s="13">
        <v>200000.0</v>
      </c>
      <c r="L11" s="14">
        <f>Assumptions!$B$6</f>
        <v>0.00016558</v>
      </c>
      <c r="M11" s="6">
        <f t="shared" si="1"/>
        <v>0.091069</v>
      </c>
      <c r="N11" s="6">
        <f>M11*J11*(Assumptions!$B$5-Assumptions!$B$4)</f>
        <v>2504.3975</v>
      </c>
      <c r="O11" s="6">
        <f>Assumptions!$B$7</f>
        <v>5</v>
      </c>
      <c r="P11" s="6">
        <f t="shared" si="2"/>
        <v>3504.3975</v>
      </c>
      <c r="Q11" s="12" t="s">
        <v>52</v>
      </c>
      <c r="R11" s="15">
        <v>2.58</v>
      </c>
      <c r="S11" s="16">
        <v>2.0E-11</v>
      </c>
      <c r="T11" s="17">
        <v>1.5219E-5</v>
      </c>
      <c r="U11" s="25">
        <v>1.5379E-6</v>
      </c>
      <c r="V11" s="25">
        <v>6.1192E-4</v>
      </c>
      <c r="W11" s="26">
        <f t="shared" si="3"/>
        <v>0.61192</v>
      </c>
      <c r="X11" s="26">
        <f t="shared" si="4"/>
        <v>0.1010513174</v>
      </c>
      <c r="Y11" s="25">
        <v>4927.2</v>
      </c>
      <c r="Z11" s="6">
        <f t="shared" si="5"/>
        <v>12.1140125</v>
      </c>
      <c r="AA11" s="22">
        <v>660.0</v>
      </c>
      <c r="AB11" s="25">
        <v>2455.4</v>
      </c>
      <c r="AC11" s="22">
        <v>680.0</v>
      </c>
      <c r="AD11" s="25">
        <v>2515.2</v>
      </c>
      <c r="AE11" s="6">
        <f t="shared" si="6"/>
        <v>676.3871237</v>
      </c>
      <c r="AF11" s="22">
        <v>1040.0</v>
      </c>
      <c r="AG11" s="25">
        <v>3457.2</v>
      </c>
      <c r="AH11" s="22">
        <v>1060.0</v>
      </c>
      <c r="AI11" s="25">
        <v>3504.9</v>
      </c>
      <c r="AJ11" s="6">
        <f t="shared" si="7"/>
        <v>1059.789308</v>
      </c>
      <c r="AK11" s="22">
        <v>2020.0</v>
      </c>
      <c r="AL11" s="21">
        <v>0.59941</v>
      </c>
      <c r="AM11" s="22">
        <v>2040.0</v>
      </c>
      <c r="AN11" s="21">
        <v>0.60099</v>
      </c>
      <c r="AO11" s="6">
        <f>IF(OR(AK11="",AL11="",AM11="",AN11=""),"",AK11+(Assumptions!$B$8-AL11)/(AN11-AL11)*(AM11-AK11))</f>
        <v>2027.468354</v>
      </c>
      <c r="AP11" s="22">
        <v>4860.0</v>
      </c>
      <c r="AQ11" s="21">
        <v>0.79997</v>
      </c>
      <c r="AR11" s="22">
        <v>4880.0</v>
      </c>
      <c r="AS11" s="21">
        <v>0.80125</v>
      </c>
      <c r="AT11" s="6">
        <f>IF(OR(AP11="",AQ11="",AR11="",AS11=""),"",AP11+(Assumptions!$B$9-AQ11)/(AS11-AQ11)*(AR11-AP11))</f>
        <v>4860.46875</v>
      </c>
      <c r="AU11" s="6">
        <f t="shared" si="8"/>
        <v>1059.789308</v>
      </c>
      <c r="AV11" s="23">
        <f t="shared" si="9"/>
        <v>3.0438</v>
      </c>
      <c r="AW11" s="23">
        <f t="shared" si="10"/>
        <v>0.228285</v>
      </c>
      <c r="AX11" s="24">
        <f t="shared" si="11"/>
        <v>0.684855</v>
      </c>
    </row>
    <row r="12">
      <c r="A12" s="5">
        <v>9.0</v>
      </c>
      <c r="B12" s="5">
        <v>1.0</v>
      </c>
      <c r="C12" s="5">
        <v>3.0</v>
      </c>
      <c r="D12" s="5">
        <v>3.0</v>
      </c>
      <c r="E12" s="5">
        <v>2.0</v>
      </c>
      <c r="F12" s="11">
        <v>293.15</v>
      </c>
      <c r="G12" s="11">
        <v>12.0</v>
      </c>
      <c r="H12" s="12" t="s">
        <v>45</v>
      </c>
      <c r="I12" s="12">
        <v>600.0</v>
      </c>
      <c r="J12" s="12">
        <v>2750.0</v>
      </c>
      <c r="K12" s="13">
        <v>204000.0</v>
      </c>
      <c r="L12" s="14">
        <f>Assumptions!$B$6</f>
        <v>0.00016558</v>
      </c>
      <c r="M12" s="6">
        <f t="shared" si="1"/>
        <v>0.099348</v>
      </c>
      <c r="N12" s="6">
        <f>M12*J12*(Assumptions!$B$5-Assumptions!$B$4)</f>
        <v>2732.07</v>
      </c>
      <c r="O12" s="6">
        <f>Assumptions!$B$7</f>
        <v>5</v>
      </c>
      <c r="P12" s="6">
        <f t="shared" si="2"/>
        <v>3752.07</v>
      </c>
      <c r="Q12" s="12" t="s">
        <v>42</v>
      </c>
      <c r="R12" s="15">
        <v>2.68</v>
      </c>
      <c r="S12" s="16">
        <v>5.0E-12</v>
      </c>
      <c r="T12" s="27"/>
      <c r="U12" s="27"/>
      <c r="V12" s="27"/>
      <c r="W12" s="26" t="str">
        <f t="shared" si="3"/>
        <v/>
      </c>
      <c r="X12" s="26" t="str">
        <f t="shared" si="4"/>
        <v/>
      </c>
      <c r="Y12" s="27"/>
      <c r="Z12" s="6" t="str">
        <f t="shared" si="5"/>
        <v/>
      </c>
      <c r="AA12" s="28"/>
      <c r="AB12" s="27"/>
      <c r="AC12" s="28"/>
      <c r="AD12" s="27"/>
      <c r="AE12" s="6" t="str">
        <f t="shared" si="6"/>
        <v/>
      </c>
      <c r="AF12" s="28"/>
      <c r="AG12" s="27"/>
      <c r="AH12" s="28"/>
      <c r="AI12" s="27"/>
      <c r="AJ12" s="6" t="str">
        <f t="shared" si="7"/>
        <v/>
      </c>
      <c r="AK12" s="28"/>
      <c r="AL12" s="29"/>
      <c r="AM12" s="28"/>
      <c r="AN12" s="29"/>
      <c r="AO12" s="6" t="str">
        <f>IF(OR(AK12="",AL12="",AM12="",AN12=""),"",AK12+(Assumptions!$B$8-AL12)/(AN12-AL12)*(AM12-AK12))</f>
        <v/>
      </c>
      <c r="AP12" s="28"/>
      <c r="AQ12" s="29"/>
      <c r="AR12" s="28"/>
      <c r="AS12" s="29"/>
      <c r="AT12" s="6" t="str">
        <f>IF(OR(AP12="",AQ12="",AR12="",AS12=""),"",AP12+(Assumptions!$B$9-AQ12)/(AS12-AQ12)*(AR12-AP12))</f>
        <v/>
      </c>
      <c r="AU12" s="6" t="str">
        <f t="shared" si="8"/>
        <v/>
      </c>
      <c r="AV12" s="23">
        <f t="shared" si="9"/>
        <v>0</v>
      </c>
      <c r="AW12" s="23">
        <f t="shared" si="10"/>
        <v>0</v>
      </c>
      <c r="AX12" s="24">
        <f t="shared" si="11"/>
        <v>0</v>
      </c>
    </row>
    <row r="13">
      <c r="A13" s="5">
        <v>10.0</v>
      </c>
      <c r="B13" s="5">
        <v>2.0</v>
      </c>
      <c r="C13" s="5">
        <v>1.0</v>
      </c>
      <c r="D13" s="5">
        <v>1.0</v>
      </c>
      <c r="E13" s="5">
        <v>2.0</v>
      </c>
      <c r="F13" s="11">
        <v>298.15</v>
      </c>
      <c r="G13" s="11">
        <v>5.0</v>
      </c>
      <c r="H13" s="12" t="s">
        <v>36</v>
      </c>
      <c r="I13" s="12">
        <v>500.0</v>
      </c>
      <c r="J13" s="12">
        <v>2750.0</v>
      </c>
      <c r="K13" s="13">
        <v>186000.0</v>
      </c>
      <c r="L13" s="14">
        <f>Assumptions!$B$6</f>
        <v>0.00016558</v>
      </c>
      <c r="M13" s="6">
        <f t="shared" si="1"/>
        <v>0.08279</v>
      </c>
      <c r="N13" s="6">
        <f>M13*J13*(Assumptions!$B$5-Assumptions!$B$4)</f>
        <v>2276.725</v>
      </c>
      <c r="O13" s="6">
        <f>Assumptions!$B$7</f>
        <v>5</v>
      </c>
      <c r="P13" s="6">
        <f t="shared" si="2"/>
        <v>3206.725</v>
      </c>
      <c r="Q13" s="12" t="s">
        <v>42</v>
      </c>
      <c r="R13" s="15">
        <v>2.68</v>
      </c>
      <c r="S13" s="16">
        <v>2.0E-11</v>
      </c>
      <c r="T13" s="27"/>
      <c r="U13" s="27"/>
      <c r="V13" s="27"/>
      <c r="W13" s="26" t="str">
        <f t="shared" si="3"/>
        <v/>
      </c>
      <c r="X13" s="26" t="str">
        <f t="shared" si="4"/>
        <v/>
      </c>
      <c r="Y13" s="27"/>
      <c r="Z13" s="6" t="str">
        <f t="shared" si="5"/>
        <v/>
      </c>
      <c r="AA13" s="28"/>
      <c r="AB13" s="27"/>
      <c r="AC13" s="28"/>
      <c r="AD13" s="27"/>
      <c r="AE13" s="6" t="str">
        <f t="shared" si="6"/>
        <v/>
      </c>
      <c r="AF13" s="28"/>
      <c r="AG13" s="27"/>
      <c r="AH13" s="28"/>
      <c r="AI13" s="27"/>
      <c r="AJ13" s="6" t="str">
        <f t="shared" si="7"/>
        <v/>
      </c>
      <c r="AK13" s="28"/>
      <c r="AL13" s="29"/>
      <c r="AM13" s="28"/>
      <c r="AN13" s="29"/>
      <c r="AO13" s="6" t="str">
        <f>IF(OR(AK13="",AL13="",AM13="",AN13=""),"",AK13+(Assumptions!$B$8-AL13)/(AN13-AL13)*(AM13-AK13))</f>
        <v/>
      </c>
      <c r="AP13" s="28"/>
      <c r="AQ13" s="29"/>
      <c r="AR13" s="28"/>
      <c r="AS13" s="29"/>
      <c r="AT13" s="6" t="str">
        <f>IF(OR(AP13="",AQ13="",AR13="",AS13=""),"",AP13+(Assumptions!$B$9-AQ13)/(AS13-AQ13)*(AR13-AP13))</f>
        <v/>
      </c>
      <c r="AU13" s="6" t="str">
        <f t="shared" si="8"/>
        <v/>
      </c>
      <c r="AV13" s="23">
        <f t="shared" si="9"/>
        <v>0</v>
      </c>
      <c r="AW13" s="23">
        <f t="shared" si="10"/>
        <v>0</v>
      </c>
      <c r="AX13" s="24">
        <f t="shared" si="11"/>
        <v>0</v>
      </c>
    </row>
    <row r="14">
      <c r="A14" s="5">
        <v>11.0</v>
      </c>
      <c r="B14" s="5">
        <v>2.0</v>
      </c>
      <c r="C14" s="5">
        <v>1.0</v>
      </c>
      <c r="D14" s="5">
        <v>2.0</v>
      </c>
      <c r="E14" s="5">
        <v>3.0</v>
      </c>
      <c r="F14" s="11">
        <v>298.15</v>
      </c>
      <c r="G14" s="11">
        <v>5.0</v>
      </c>
      <c r="H14" s="12" t="s">
        <v>42</v>
      </c>
      <c r="I14" s="12">
        <v>550.0</v>
      </c>
      <c r="J14" s="12">
        <v>2750.0</v>
      </c>
      <c r="K14" s="13">
        <v>200000.0</v>
      </c>
      <c r="L14" s="14">
        <f>Assumptions!$B$6</f>
        <v>0.00016558</v>
      </c>
      <c r="M14" s="6">
        <f t="shared" si="1"/>
        <v>0.091069</v>
      </c>
      <c r="N14" s="6">
        <f>M14*J14*(Assumptions!$B$5-Assumptions!$B$4)</f>
        <v>2504.3975</v>
      </c>
      <c r="O14" s="6">
        <f>Assumptions!$B$7</f>
        <v>5</v>
      </c>
      <c r="P14" s="6">
        <f t="shared" si="2"/>
        <v>3504.3975</v>
      </c>
      <c r="Q14" s="12" t="s">
        <v>58</v>
      </c>
      <c r="R14" s="15">
        <v>2.77</v>
      </c>
      <c r="S14" s="16">
        <v>5.0E-12</v>
      </c>
      <c r="T14" s="27"/>
      <c r="U14" s="27"/>
      <c r="V14" s="27"/>
      <c r="W14" s="26" t="str">
        <f t="shared" si="3"/>
        <v/>
      </c>
      <c r="X14" s="26" t="str">
        <f t="shared" si="4"/>
        <v/>
      </c>
      <c r="Y14" s="27"/>
      <c r="Z14" s="6" t="str">
        <f t="shared" si="5"/>
        <v/>
      </c>
      <c r="AA14" s="28"/>
      <c r="AB14" s="27"/>
      <c r="AC14" s="28"/>
      <c r="AD14" s="27"/>
      <c r="AE14" s="6" t="str">
        <f t="shared" si="6"/>
        <v/>
      </c>
      <c r="AF14" s="28"/>
      <c r="AG14" s="27"/>
      <c r="AH14" s="28"/>
      <c r="AI14" s="27"/>
      <c r="AJ14" s="6" t="str">
        <f t="shared" si="7"/>
        <v/>
      </c>
      <c r="AK14" s="28"/>
      <c r="AL14" s="29"/>
      <c r="AM14" s="28"/>
      <c r="AN14" s="29"/>
      <c r="AO14" s="6" t="str">
        <f>IF(OR(AK14="",AL14="",AM14="",AN14=""),"",AK14+(Assumptions!$B$8-AL14)/(AN14-AL14)*(AM14-AK14))</f>
        <v/>
      </c>
      <c r="AP14" s="28"/>
      <c r="AQ14" s="29"/>
      <c r="AR14" s="28"/>
      <c r="AS14" s="29"/>
      <c r="AT14" s="6" t="str">
        <f>IF(OR(AP14="",AQ14="",AR14="",AS14=""),"",AP14+(Assumptions!$B$9-AQ14)/(AS14-AQ14)*(AR14-AP14))</f>
        <v/>
      </c>
      <c r="AU14" s="6" t="str">
        <f t="shared" si="8"/>
        <v/>
      </c>
      <c r="AV14" s="23">
        <f t="shared" si="9"/>
        <v>0</v>
      </c>
      <c r="AW14" s="23">
        <f t="shared" si="10"/>
        <v>0</v>
      </c>
      <c r="AX14" s="24">
        <f t="shared" si="11"/>
        <v>0</v>
      </c>
    </row>
    <row r="15">
      <c r="A15" s="5">
        <v>12.0</v>
      </c>
      <c r="B15" s="5">
        <v>2.0</v>
      </c>
      <c r="C15" s="5">
        <v>1.0</v>
      </c>
      <c r="D15" s="5">
        <v>3.0</v>
      </c>
      <c r="E15" s="5">
        <v>1.0</v>
      </c>
      <c r="F15" s="11">
        <v>298.15</v>
      </c>
      <c r="G15" s="11">
        <v>5.0</v>
      </c>
      <c r="H15" s="12" t="s">
        <v>45</v>
      </c>
      <c r="I15" s="12">
        <v>600.0</v>
      </c>
      <c r="J15" s="12">
        <v>2750.0</v>
      </c>
      <c r="K15" s="13">
        <v>204000.0</v>
      </c>
      <c r="L15" s="14">
        <f>Assumptions!$B$6</f>
        <v>0.00016558</v>
      </c>
      <c r="M15" s="6">
        <f t="shared" si="1"/>
        <v>0.099348</v>
      </c>
      <c r="N15" s="6">
        <f>M15*J15*(Assumptions!$B$5-Assumptions!$B$4)</f>
        <v>2732.07</v>
      </c>
      <c r="O15" s="6">
        <f>Assumptions!$B$7</f>
        <v>5</v>
      </c>
      <c r="P15" s="6">
        <f t="shared" si="2"/>
        <v>3752.07</v>
      </c>
      <c r="Q15" s="12" t="s">
        <v>52</v>
      </c>
      <c r="R15" s="15">
        <v>2.58</v>
      </c>
      <c r="S15" s="16">
        <v>6.0E-11</v>
      </c>
      <c r="T15" s="27"/>
      <c r="U15" s="27"/>
      <c r="V15" s="27"/>
      <c r="W15" s="26" t="str">
        <f t="shared" si="3"/>
        <v/>
      </c>
      <c r="X15" s="26" t="str">
        <f t="shared" si="4"/>
        <v/>
      </c>
      <c r="Y15" s="27"/>
      <c r="Z15" s="6" t="str">
        <f t="shared" si="5"/>
        <v/>
      </c>
      <c r="AA15" s="28"/>
      <c r="AB15" s="27"/>
      <c r="AC15" s="28"/>
      <c r="AD15" s="27"/>
      <c r="AE15" s="6" t="str">
        <f t="shared" si="6"/>
        <v/>
      </c>
      <c r="AF15" s="28"/>
      <c r="AG15" s="27"/>
      <c r="AH15" s="28"/>
      <c r="AI15" s="27"/>
      <c r="AJ15" s="6" t="str">
        <f t="shared" si="7"/>
        <v/>
      </c>
      <c r="AK15" s="28"/>
      <c r="AL15" s="29"/>
      <c r="AM15" s="28"/>
      <c r="AN15" s="29"/>
      <c r="AO15" s="6" t="str">
        <f>IF(OR(AK15="",AL15="",AM15="",AN15=""),"",AK15+(Assumptions!$B$8-AL15)/(AN15-AL15)*(AM15-AK15))</f>
        <v/>
      </c>
      <c r="AP15" s="28"/>
      <c r="AQ15" s="29"/>
      <c r="AR15" s="28"/>
      <c r="AS15" s="29"/>
      <c r="AT15" s="6" t="str">
        <f>IF(OR(AP15="",AQ15="",AR15="",AS15=""),"",AP15+(Assumptions!$B$9-AQ15)/(AS15-AQ15)*(AR15-AP15))</f>
        <v/>
      </c>
      <c r="AU15" s="6" t="str">
        <f t="shared" si="8"/>
        <v/>
      </c>
      <c r="AV15" s="23">
        <f t="shared" si="9"/>
        <v>0</v>
      </c>
      <c r="AW15" s="23">
        <f t="shared" si="10"/>
        <v>0</v>
      </c>
      <c r="AX15" s="24">
        <f t="shared" si="11"/>
        <v>0</v>
      </c>
    </row>
    <row r="16">
      <c r="A16" s="5">
        <v>13.0</v>
      </c>
      <c r="B16" s="5">
        <v>2.0</v>
      </c>
      <c r="C16" s="5">
        <v>2.0</v>
      </c>
      <c r="D16" s="5">
        <v>1.0</v>
      </c>
      <c r="E16" s="5">
        <v>3.0</v>
      </c>
      <c r="F16" s="11">
        <v>298.15</v>
      </c>
      <c r="G16" s="11">
        <v>8.0</v>
      </c>
      <c r="H16" s="12" t="s">
        <v>36</v>
      </c>
      <c r="I16" s="12">
        <v>500.0</v>
      </c>
      <c r="J16" s="12">
        <v>2750.0</v>
      </c>
      <c r="K16" s="13">
        <v>186000.0</v>
      </c>
      <c r="L16" s="14">
        <f>Assumptions!$B$6</f>
        <v>0.00016558</v>
      </c>
      <c r="M16" s="6">
        <f t="shared" si="1"/>
        <v>0.08279</v>
      </c>
      <c r="N16" s="6">
        <f>M16*J16*(Assumptions!$B$5-Assumptions!$B$4)</f>
        <v>2276.725</v>
      </c>
      <c r="O16" s="6">
        <f>Assumptions!$B$7</f>
        <v>5</v>
      </c>
      <c r="P16" s="6">
        <f t="shared" si="2"/>
        <v>3206.725</v>
      </c>
      <c r="Q16" s="12" t="s">
        <v>58</v>
      </c>
      <c r="R16" s="15">
        <v>2.77</v>
      </c>
      <c r="S16" s="16">
        <v>6.0E-11</v>
      </c>
      <c r="T16" s="27"/>
      <c r="U16" s="27"/>
      <c r="V16" s="27"/>
      <c r="W16" s="26" t="str">
        <f t="shared" si="3"/>
        <v/>
      </c>
      <c r="X16" s="26" t="str">
        <f t="shared" si="4"/>
        <v/>
      </c>
      <c r="Y16" s="27"/>
      <c r="Z16" s="6" t="str">
        <f t="shared" si="5"/>
        <v/>
      </c>
      <c r="AA16" s="28"/>
      <c r="AB16" s="27"/>
      <c r="AC16" s="28"/>
      <c r="AD16" s="27"/>
      <c r="AE16" s="6" t="str">
        <f t="shared" si="6"/>
        <v/>
      </c>
      <c r="AF16" s="28"/>
      <c r="AG16" s="27"/>
      <c r="AH16" s="28"/>
      <c r="AI16" s="27"/>
      <c r="AJ16" s="6" t="str">
        <f t="shared" si="7"/>
        <v/>
      </c>
      <c r="AK16" s="28"/>
      <c r="AL16" s="29"/>
      <c r="AM16" s="28"/>
      <c r="AN16" s="29"/>
      <c r="AO16" s="6" t="str">
        <f>IF(OR(AK16="",AL16="",AM16="",AN16=""),"",AK16+(Assumptions!$B$8-AL16)/(AN16-AL16)*(AM16-AK16))</f>
        <v/>
      </c>
      <c r="AP16" s="28"/>
      <c r="AQ16" s="29"/>
      <c r="AR16" s="28"/>
      <c r="AS16" s="29"/>
      <c r="AT16" s="6" t="str">
        <f>IF(OR(AP16="",AQ16="",AR16="",AS16=""),"",AP16+(Assumptions!$B$9-AQ16)/(AS16-AQ16)*(AR16-AP16))</f>
        <v/>
      </c>
      <c r="AU16" s="6" t="str">
        <f t="shared" si="8"/>
        <v/>
      </c>
      <c r="AV16" s="23">
        <f t="shared" si="9"/>
        <v>0</v>
      </c>
      <c r="AW16" s="23">
        <f t="shared" si="10"/>
        <v>0</v>
      </c>
      <c r="AX16" s="24">
        <f t="shared" si="11"/>
        <v>0</v>
      </c>
    </row>
    <row r="17">
      <c r="A17" s="5">
        <v>14.0</v>
      </c>
      <c r="B17" s="5">
        <v>2.0</v>
      </c>
      <c r="C17" s="5">
        <v>2.0</v>
      </c>
      <c r="D17" s="5">
        <v>2.0</v>
      </c>
      <c r="E17" s="5">
        <v>1.0</v>
      </c>
      <c r="F17" s="11">
        <v>298.15</v>
      </c>
      <c r="G17" s="11">
        <v>8.0</v>
      </c>
      <c r="H17" s="12" t="s">
        <v>42</v>
      </c>
      <c r="I17" s="12">
        <v>550.0</v>
      </c>
      <c r="J17" s="12">
        <v>2750.0</v>
      </c>
      <c r="K17" s="13">
        <v>200000.0</v>
      </c>
      <c r="L17" s="14">
        <f>Assumptions!$B$6</f>
        <v>0.00016558</v>
      </c>
      <c r="M17" s="6">
        <f t="shared" si="1"/>
        <v>0.091069</v>
      </c>
      <c r="N17" s="6">
        <f>M17*J17*(Assumptions!$B$5-Assumptions!$B$4)</f>
        <v>2504.3975</v>
      </c>
      <c r="O17" s="6">
        <f>Assumptions!$B$7</f>
        <v>5</v>
      </c>
      <c r="P17" s="6">
        <f t="shared" si="2"/>
        <v>3504.3975</v>
      </c>
      <c r="Q17" s="12" t="s">
        <v>52</v>
      </c>
      <c r="R17" s="15">
        <v>2.58</v>
      </c>
      <c r="S17" s="16">
        <v>2.0E-11</v>
      </c>
      <c r="T17" s="27"/>
      <c r="U17" s="27"/>
      <c r="V17" s="27"/>
      <c r="W17" s="26" t="str">
        <f t="shared" si="3"/>
        <v/>
      </c>
      <c r="X17" s="26" t="str">
        <f t="shared" si="4"/>
        <v/>
      </c>
      <c r="Y17" s="27"/>
      <c r="Z17" s="6" t="str">
        <f t="shared" si="5"/>
        <v/>
      </c>
      <c r="AA17" s="28"/>
      <c r="AB17" s="27"/>
      <c r="AC17" s="28"/>
      <c r="AD17" s="27"/>
      <c r="AE17" s="6" t="str">
        <f t="shared" si="6"/>
        <v/>
      </c>
      <c r="AF17" s="28"/>
      <c r="AG17" s="27"/>
      <c r="AH17" s="28"/>
      <c r="AI17" s="27"/>
      <c r="AJ17" s="6" t="str">
        <f t="shared" si="7"/>
        <v/>
      </c>
      <c r="AK17" s="28"/>
      <c r="AL17" s="29"/>
      <c r="AM17" s="28"/>
      <c r="AN17" s="29"/>
      <c r="AO17" s="6" t="str">
        <f>IF(OR(AK17="",AL17="",AM17="",AN17=""),"",AK17+(Assumptions!$B$8-AL17)/(AN17-AL17)*(AM17-AK17))</f>
        <v/>
      </c>
      <c r="AP17" s="28"/>
      <c r="AQ17" s="29"/>
      <c r="AR17" s="28"/>
      <c r="AS17" s="29"/>
      <c r="AT17" s="6" t="str">
        <f>IF(OR(AP17="",AQ17="",AR17="",AS17=""),"",AP17+(Assumptions!$B$9-AQ17)/(AS17-AQ17)*(AR17-AP17))</f>
        <v/>
      </c>
      <c r="AU17" s="6" t="str">
        <f t="shared" si="8"/>
        <v/>
      </c>
      <c r="AV17" s="23">
        <f t="shared" si="9"/>
        <v>0</v>
      </c>
      <c r="AW17" s="23">
        <f t="shared" si="10"/>
        <v>0</v>
      </c>
      <c r="AX17" s="24">
        <f t="shared" si="11"/>
        <v>0</v>
      </c>
    </row>
    <row r="18">
      <c r="A18" s="5">
        <v>15.0</v>
      </c>
      <c r="B18" s="5">
        <v>2.0</v>
      </c>
      <c r="C18" s="5">
        <v>2.0</v>
      </c>
      <c r="D18" s="5">
        <v>3.0</v>
      </c>
      <c r="E18" s="5">
        <v>2.0</v>
      </c>
      <c r="F18" s="11">
        <v>298.15</v>
      </c>
      <c r="G18" s="11">
        <v>8.0</v>
      </c>
      <c r="H18" s="12" t="s">
        <v>45</v>
      </c>
      <c r="I18" s="12">
        <v>600.0</v>
      </c>
      <c r="J18" s="12">
        <v>2750.0</v>
      </c>
      <c r="K18" s="13">
        <v>204000.0</v>
      </c>
      <c r="L18" s="14">
        <f>Assumptions!$B$6</f>
        <v>0.00016558</v>
      </c>
      <c r="M18" s="6">
        <f t="shared" si="1"/>
        <v>0.099348</v>
      </c>
      <c r="N18" s="6">
        <f>M18*J18*(Assumptions!$B$5-Assumptions!$B$4)</f>
        <v>2732.07</v>
      </c>
      <c r="O18" s="6">
        <f>Assumptions!$B$7</f>
        <v>5</v>
      </c>
      <c r="P18" s="6">
        <f t="shared" si="2"/>
        <v>3752.07</v>
      </c>
      <c r="Q18" s="12" t="s">
        <v>42</v>
      </c>
      <c r="R18" s="15">
        <v>2.68</v>
      </c>
      <c r="S18" s="16">
        <v>5.0E-12</v>
      </c>
      <c r="T18" s="27"/>
      <c r="U18" s="27"/>
      <c r="V18" s="27"/>
      <c r="W18" s="26" t="str">
        <f t="shared" si="3"/>
        <v/>
      </c>
      <c r="X18" s="26" t="str">
        <f t="shared" si="4"/>
        <v/>
      </c>
      <c r="Y18" s="27"/>
      <c r="Z18" s="6" t="str">
        <f t="shared" si="5"/>
        <v/>
      </c>
      <c r="AA18" s="28"/>
      <c r="AB18" s="27"/>
      <c r="AC18" s="28"/>
      <c r="AD18" s="27"/>
      <c r="AE18" s="6" t="str">
        <f t="shared" si="6"/>
        <v/>
      </c>
      <c r="AF18" s="28"/>
      <c r="AG18" s="27"/>
      <c r="AH18" s="28"/>
      <c r="AI18" s="27"/>
      <c r="AJ18" s="6" t="str">
        <f t="shared" si="7"/>
        <v/>
      </c>
      <c r="AK18" s="28"/>
      <c r="AL18" s="29"/>
      <c r="AM18" s="28"/>
      <c r="AN18" s="29"/>
      <c r="AO18" s="6" t="str">
        <f>IF(OR(AK18="",AL18="",AM18="",AN18=""),"",AK18+(Assumptions!$B$8-AL18)/(AN18-AL18)*(AM18-AK18))</f>
        <v/>
      </c>
      <c r="AP18" s="28"/>
      <c r="AQ18" s="29"/>
      <c r="AR18" s="28"/>
      <c r="AS18" s="29"/>
      <c r="AT18" s="6" t="str">
        <f>IF(OR(AP18="",AQ18="",AR18="",AS18=""),"",AP18+(Assumptions!$B$9-AQ18)/(AS18-AQ18)*(AR18-AP18))</f>
        <v/>
      </c>
      <c r="AU18" s="6" t="str">
        <f t="shared" si="8"/>
        <v/>
      </c>
      <c r="AV18" s="23">
        <f t="shared" si="9"/>
        <v>0</v>
      </c>
      <c r="AW18" s="23">
        <f t="shared" si="10"/>
        <v>0</v>
      </c>
      <c r="AX18" s="24">
        <f t="shared" si="11"/>
        <v>0</v>
      </c>
    </row>
    <row r="19">
      <c r="A19" s="5">
        <v>16.0</v>
      </c>
      <c r="B19" s="5">
        <v>2.0</v>
      </c>
      <c r="C19" s="5">
        <v>3.0</v>
      </c>
      <c r="D19" s="5">
        <v>1.0</v>
      </c>
      <c r="E19" s="5">
        <v>1.0</v>
      </c>
      <c r="F19" s="11">
        <v>298.15</v>
      </c>
      <c r="G19" s="11">
        <v>12.0</v>
      </c>
      <c r="H19" s="12" t="s">
        <v>36</v>
      </c>
      <c r="I19" s="12">
        <v>500.0</v>
      </c>
      <c r="J19" s="12">
        <v>2750.0</v>
      </c>
      <c r="K19" s="13">
        <v>186000.0</v>
      </c>
      <c r="L19" s="14">
        <f>Assumptions!$B$6</f>
        <v>0.00016558</v>
      </c>
      <c r="M19" s="6">
        <f t="shared" si="1"/>
        <v>0.08279</v>
      </c>
      <c r="N19" s="6">
        <f>M19*J19*(Assumptions!$B$5-Assumptions!$B$4)</f>
        <v>2276.725</v>
      </c>
      <c r="O19" s="6">
        <f>Assumptions!$B$7</f>
        <v>5</v>
      </c>
      <c r="P19" s="6">
        <f t="shared" si="2"/>
        <v>3206.725</v>
      </c>
      <c r="Q19" s="12" t="s">
        <v>52</v>
      </c>
      <c r="R19" s="15">
        <v>2.58</v>
      </c>
      <c r="S19" s="16">
        <v>5.0E-12</v>
      </c>
      <c r="T19" s="27"/>
      <c r="U19" s="27"/>
      <c r="V19" s="27"/>
      <c r="W19" s="26" t="str">
        <f t="shared" si="3"/>
        <v/>
      </c>
      <c r="X19" s="26" t="str">
        <f t="shared" si="4"/>
        <v/>
      </c>
      <c r="Y19" s="27"/>
      <c r="Z19" s="6" t="str">
        <f t="shared" si="5"/>
        <v/>
      </c>
      <c r="AA19" s="28"/>
      <c r="AB19" s="27"/>
      <c r="AC19" s="28"/>
      <c r="AD19" s="27"/>
      <c r="AE19" s="6" t="str">
        <f t="shared" si="6"/>
        <v/>
      </c>
      <c r="AF19" s="28"/>
      <c r="AG19" s="27"/>
      <c r="AH19" s="28"/>
      <c r="AI19" s="27"/>
      <c r="AJ19" s="6" t="str">
        <f t="shared" si="7"/>
        <v/>
      </c>
      <c r="AK19" s="28"/>
      <c r="AL19" s="29"/>
      <c r="AM19" s="28"/>
      <c r="AN19" s="29"/>
      <c r="AO19" s="6" t="str">
        <f>IF(OR(AK19="",AL19="",AM19="",AN19=""),"",AK19+(Assumptions!$B$8-AL19)/(AN19-AL19)*(AM19-AK19))</f>
        <v/>
      </c>
      <c r="AP19" s="28"/>
      <c r="AQ19" s="29"/>
      <c r="AR19" s="28"/>
      <c r="AS19" s="29"/>
      <c r="AT19" s="6" t="str">
        <f>IF(OR(AP19="",AQ19="",AR19="",AS19=""),"",AP19+(Assumptions!$B$9-AQ19)/(AS19-AQ19)*(AR19-AP19))</f>
        <v/>
      </c>
      <c r="AU19" s="6" t="str">
        <f t="shared" si="8"/>
        <v/>
      </c>
      <c r="AV19" s="23">
        <f t="shared" si="9"/>
        <v>0</v>
      </c>
      <c r="AW19" s="23">
        <f t="shared" si="10"/>
        <v>0</v>
      </c>
      <c r="AX19" s="24">
        <f t="shared" si="11"/>
        <v>0</v>
      </c>
    </row>
    <row r="20">
      <c r="A20" s="5">
        <v>17.0</v>
      </c>
      <c r="B20" s="5">
        <v>2.0</v>
      </c>
      <c r="C20" s="5">
        <v>3.0</v>
      </c>
      <c r="D20" s="5">
        <v>2.0</v>
      </c>
      <c r="E20" s="5">
        <v>2.0</v>
      </c>
      <c r="F20" s="11">
        <v>298.15</v>
      </c>
      <c r="G20" s="11">
        <v>12.0</v>
      </c>
      <c r="H20" s="12" t="s">
        <v>42</v>
      </c>
      <c r="I20" s="12">
        <v>550.0</v>
      </c>
      <c r="J20" s="12">
        <v>2750.0</v>
      </c>
      <c r="K20" s="13">
        <v>200000.0</v>
      </c>
      <c r="L20" s="14">
        <f>Assumptions!$B$6</f>
        <v>0.00016558</v>
      </c>
      <c r="M20" s="6">
        <f t="shared" si="1"/>
        <v>0.091069</v>
      </c>
      <c r="N20" s="6">
        <f>M20*J20*(Assumptions!$B$5-Assumptions!$B$4)</f>
        <v>2504.3975</v>
      </c>
      <c r="O20" s="6">
        <f>Assumptions!$B$7</f>
        <v>5</v>
      </c>
      <c r="P20" s="6">
        <f t="shared" si="2"/>
        <v>3504.3975</v>
      </c>
      <c r="Q20" s="12" t="s">
        <v>42</v>
      </c>
      <c r="R20" s="15">
        <v>2.68</v>
      </c>
      <c r="S20" s="16">
        <v>6.0E-11</v>
      </c>
      <c r="T20" s="27"/>
      <c r="U20" s="27"/>
      <c r="V20" s="27"/>
      <c r="W20" s="26" t="str">
        <f t="shared" si="3"/>
        <v/>
      </c>
      <c r="X20" s="26" t="str">
        <f t="shared" si="4"/>
        <v/>
      </c>
      <c r="Y20" s="27"/>
      <c r="Z20" s="6" t="str">
        <f t="shared" si="5"/>
        <v/>
      </c>
      <c r="AA20" s="28"/>
      <c r="AB20" s="27"/>
      <c r="AC20" s="28"/>
      <c r="AD20" s="27"/>
      <c r="AE20" s="6" t="str">
        <f t="shared" si="6"/>
        <v/>
      </c>
      <c r="AF20" s="28"/>
      <c r="AG20" s="27"/>
      <c r="AH20" s="28"/>
      <c r="AI20" s="27"/>
      <c r="AJ20" s="6" t="str">
        <f t="shared" si="7"/>
        <v/>
      </c>
      <c r="AK20" s="28"/>
      <c r="AL20" s="29"/>
      <c r="AM20" s="28"/>
      <c r="AN20" s="29"/>
      <c r="AO20" s="6" t="str">
        <f>IF(OR(AK20="",AL20="",AM20="",AN20=""),"",AK20+(Assumptions!$B$8-AL20)/(AN20-AL20)*(AM20-AK20))</f>
        <v/>
      </c>
      <c r="AP20" s="28"/>
      <c r="AQ20" s="29"/>
      <c r="AR20" s="28"/>
      <c r="AS20" s="29"/>
      <c r="AT20" s="6" t="str">
        <f>IF(OR(AP20="",AQ20="",AR20="",AS20=""),"",AP20+(Assumptions!$B$9-AQ20)/(AS20-AQ20)*(AR20-AP20))</f>
        <v/>
      </c>
      <c r="AU20" s="6" t="str">
        <f t="shared" si="8"/>
        <v/>
      </c>
      <c r="AV20" s="23">
        <f t="shared" si="9"/>
        <v>0</v>
      </c>
      <c r="AW20" s="23">
        <f t="shared" si="10"/>
        <v>0</v>
      </c>
      <c r="AX20" s="24">
        <f t="shared" si="11"/>
        <v>0</v>
      </c>
    </row>
    <row r="21" ht="15.75" customHeight="1">
      <c r="A21" s="5">
        <v>18.0</v>
      </c>
      <c r="B21" s="5">
        <v>2.0</v>
      </c>
      <c r="C21" s="5">
        <v>3.0</v>
      </c>
      <c r="D21" s="5">
        <v>3.0</v>
      </c>
      <c r="E21" s="5">
        <v>3.0</v>
      </c>
      <c r="F21" s="11">
        <v>298.15</v>
      </c>
      <c r="G21" s="11">
        <v>12.0</v>
      </c>
      <c r="H21" s="12" t="s">
        <v>45</v>
      </c>
      <c r="I21" s="12">
        <v>600.0</v>
      </c>
      <c r="J21" s="12">
        <v>2750.0</v>
      </c>
      <c r="K21" s="13">
        <v>204000.0</v>
      </c>
      <c r="L21" s="14">
        <f>Assumptions!$B$6</f>
        <v>0.00016558</v>
      </c>
      <c r="M21" s="6">
        <f t="shared" si="1"/>
        <v>0.099348</v>
      </c>
      <c r="N21" s="6">
        <f>M21*J21*(Assumptions!$B$5-Assumptions!$B$4)</f>
        <v>2732.07</v>
      </c>
      <c r="O21" s="6">
        <f>Assumptions!$B$7</f>
        <v>5</v>
      </c>
      <c r="P21" s="6">
        <f t="shared" si="2"/>
        <v>3752.07</v>
      </c>
      <c r="Q21" s="12" t="s">
        <v>58</v>
      </c>
      <c r="R21" s="15">
        <v>2.77</v>
      </c>
      <c r="S21" s="16">
        <v>2.0E-11</v>
      </c>
      <c r="T21" s="27"/>
      <c r="U21" s="27"/>
      <c r="V21" s="27"/>
      <c r="W21" s="26" t="str">
        <f t="shared" si="3"/>
        <v/>
      </c>
      <c r="X21" s="26" t="str">
        <f t="shared" si="4"/>
        <v/>
      </c>
      <c r="Y21" s="27"/>
      <c r="Z21" s="6" t="str">
        <f t="shared" si="5"/>
        <v/>
      </c>
      <c r="AA21" s="28"/>
      <c r="AB21" s="27"/>
      <c r="AC21" s="28"/>
      <c r="AD21" s="27"/>
      <c r="AE21" s="6" t="str">
        <f t="shared" si="6"/>
        <v/>
      </c>
      <c r="AF21" s="28"/>
      <c r="AG21" s="27"/>
      <c r="AH21" s="28"/>
      <c r="AI21" s="27"/>
      <c r="AJ21" s="6" t="str">
        <f t="shared" si="7"/>
        <v/>
      </c>
      <c r="AK21" s="28"/>
      <c r="AL21" s="29"/>
      <c r="AM21" s="28"/>
      <c r="AN21" s="29"/>
      <c r="AO21" s="6" t="str">
        <f>IF(OR(AK21="",AL21="",AM21="",AN21=""),"",AK21+(Assumptions!$B$8-AL21)/(AN21-AL21)*(AM21-AK21))</f>
        <v/>
      </c>
      <c r="AP21" s="28"/>
      <c r="AQ21" s="29"/>
      <c r="AR21" s="28"/>
      <c r="AS21" s="29"/>
      <c r="AT21" s="6" t="str">
        <f>IF(OR(AP21="",AQ21="",AR21="",AS21=""),"",AP21+(Assumptions!$B$9-AQ21)/(AS21-AQ21)*(AR21-AP21))</f>
        <v/>
      </c>
      <c r="AU21" s="6" t="str">
        <f t="shared" si="8"/>
        <v/>
      </c>
      <c r="AV21" s="23">
        <f t="shared" si="9"/>
        <v>0</v>
      </c>
      <c r="AW21" s="23">
        <f t="shared" si="10"/>
        <v>0</v>
      </c>
      <c r="AX21" s="24">
        <f t="shared" si="11"/>
        <v>0</v>
      </c>
    </row>
    <row r="22" ht="15.75" customHeight="1">
      <c r="A22" s="5">
        <v>19.0</v>
      </c>
      <c r="B22" s="5">
        <v>3.0</v>
      </c>
      <c r="C22" s="5">
        <v>1.0</v>
      </c>
      <c r="D22" s="5">
        <v>1.0</v>
      </c>
      <c r="E22" s="5">
        <v>3.0</v>
      </c>
      <c r="F22" s="11">
        <v>303.15</v>
      </c>
      <c r="G22" s="11">
        <v>5.0</v>
      </c>
      <c r="H22" s="12" t="s">
        <v>36</v>
      </c>
      <c r="I22" s="12">
        <v>500.0</v>
      </c>
      <c r="J22" s="12">
        <v>2750.0</v>
      </c>
      <c r="K22" s="13">
        <v>186000.0</v>
      </c>
      <c r="L22" s="14">
        <f>Assumptions!$B$6</f>
        <v>0.00016558</v>
      </c>
      <c r="M22" s="6">
        <f t="shared" si="1"/>
        <v>0.08279</v>
      </c>
      <c r="N22" s="6">
        <f>M22*J22*(Assumptions!$B$5-Assumptions!$B$4)</f>
        <v>2276.725</v>
      </c>
      <c r="O22" s="6">
        <f>Assumptions!$B$7</f>
        <v>5</v>
      </c>
      <c r="P22" s="6">
        <f t="shared" si="2"/>
        <v>3206.725</v>
      </c>
      <c r="Q22" s="12" t="s">
        <v>58</v>
      </c>
      <c r="R22" s="15">
        <v>2.77</v>
      </c>
      <c r="S22" s="16">
        <v>6.0E-11</v>
      </c>
      <c r="T22" s="27"/>
      <c r="U22" s="27"/>
      <c r="V22" s="27"/>
      <c r="W22" s="26" t="str">
        <f t="shared" si="3"/>
        <v/>
      </c>
      <c r="X22" s="26" t="str">
        <f t="shared" si="4"/>
        <v/>
      </c>
      <c r="Y22" s="27"/>
      <c r="Z22" s="6" t="str">
        <f t="shared" si="5"/>
        <v/>
      </c>
      <c r="AA22" s="28"/>
      <c r="AB22" s="27"/>
      <c r="AC22" s="28"/>
      <c r="AD22" s="27"/>
      <c r="AE22" s="6" t="str">
        <f t="shared" si="6"/>
        <v/>
      </c>
      <c r="AF22" s="28"/>
      <c r="AG22" s="27"/>
      <c r="AH22" s="28"/>
      <c r="AI22" s="27"/>
      <c r="AJ22" s="6" t="str">
        <f t="shared" si="7"/>
        <v/>
      </c>
      <c r="AK22" s="28"/>
      <c r="AL22" s="29"/>
      <c r="AM22" s="28"/>
      <c r="AN22" s="29"/>
      <c r="AO22" s="6" t="str">
        <f>IF(OR(AK22="",AL22="",AM22="",AN22=""),"",AK22+(Assumptions!$B$8-AL22)/(AN22-AL22)*(AM22-AK22))</f>
        <v/>
      </c>
      <c r="AP22" s="28"/>
      <c r="AQ22" s="29"/>
      <c r="AR22" s="28"/>
      <c r="AS22" s="29"/>
      <c r="AT22" s="6" t="str">
        <f>IF(OR(AP22="",AQ22="",AR22="",AS22=""),"",AP22+(Assumptions!$B$9-AQ22)/(AS22-AQ22)*(AR22-AP22))</f>
        <v/>
      </c>
      <c r="AU22" s="6" t="str">
        <f t="shared" si="8"/>
        <v/>
      </c>
      <c r="AV22" s="23">
        <f t="shared" si="9"/>
        <v>0</v>
      </c>
      <c r="AW22" s="23">
        <f t="shared" si="10"/>
        <v>0</v>
      </c>
      <c r="AX22" s="24">
        <f t="shared" si="11"/>
        <v>0</v>
      </c>
    </row>
    <row r="23" ht="15.75" customHeight="1">
      <c r="A23" s="5">
        <v>20.0</v>
      </c>
      <c r="B23" s="5">
        <v>3.0</v>
      </c>
      <c r="C23" s="5">
        <v>1.0</v>
      </c>
      <c r="D23" s="5">
        <v>2.0</v>
      </c>
      <c r="E23" s="5">
        <v>1.0</v>
      </c>
      <c r="F23" s="11">
        <v>303.15</v>
      </c>
      <c r="G23" s="11">
        <v>5.0</v>
      </c>
      <c r="H23" s="12" t="s">
        <v>42</v>
      </c>
      <c r="I23" s="12">
        <v>550.0</v>
      </c>
      <c r="J23" s="12">
        <v>2750.0</v>
      </c>
      <c r="K23" s="13">
        <v>200000.0</v>
      </c>
      <c r="L23" s="14">
        <f>Assumptions!$B$6</f>
        <v>0.00016558</v>
      </c>
      <c r="M23" s="6">
        <f t="shared" si="1"/>
        <v>0.091069</v>
      </c>
      <c r="N23" s="6">
        <f>M23*J23*(Assumptions!$B$5-Assumptions!$B$4)</f>
        <v>2504.3975</v>
      </c>
      <c r="O23" s="6">
        <f>Assumptions!$B$7</f>
        <v>5</v>
      </c>
      <c r="P23" s="6">
        <f t="shared" si="2"/>
        <v>3504.3975</v>
      </c>
      <c r="Q23" s="12" t="s">
        <v>52</v>
      </c>
      <c r="R23" s="15">
        <v>2.58</v>
      </c>
      <c r="S23" s="16">
        <v>2.0E-11</v>
      </c>
      <c r="T23" s="27"/>
      <c r="U23" s="27"/>
      <c r="V23" s="27"/>
      <c r="W23" s="26" t="str">
        <f t="shared" si="3"/>
        <v/>
      </c>
      <c r="X23" s="26" t="str">
        <f t="shared" si="4"/>
        <v/>
      </c>
      <c r="Y23" s="27"/>
      <c r="Z23" s="6" t="str">
        <f t="shared" si="5"/>
        <v/>
      </c>
      <c r="AA23" s="28"/>
      <c r="AB23" s="27"/>
      <c r="AC23" s="28"/>
      <c r="AD23" s="27"/>
      <c r="AE23" s="6" t="str">
        <f t="shared" si="6"/>
        <v/>
      </c>
      <c r="AF23" s="28"/>
      <c r="AG23" s="27"/>
      <c r="AH23" s="28"/>
      <c r="AI23" s="27"/>
      <c r="AJ23" s="6" t="str">
        <f t="shared" si="7"/>
        <v/>
      </c>
      <c r="AK23" s="28"/>
      <c r="AL23" s="29"/>
      <c r="AM23" s="28"/>
      <c r="AN23" s="29"/>
      <c r="AO23" s="6" t="str">
        <f>IF(OR(AK23="",AL23="",AM23="",AN23=""),"",AK23+(Assumptions!$B$8-AL23)/(AN23-AL23)*(AM23-AK23))</f>
        <v/>
      </c>
      <c r="AP23" s="28"/>
      <c r="AQ23" s="29"/>
      <c r="AR23" s="28"/>
      <c r="AS23" s="29"/>
      <c r="AT23" s="6" t="str">
        <f>IF(OR(AP23="",AQ23="",AR23="",AS23=""),"",AP23+(Assumptions!$B$9-AQ23)/(AS23-AQ23)*(AR23-AP23))</f>
        <v/>
      </c>
      <c r="AU23" s="6" t="str">
        <f t="shared" si="8"/>
        <v/>
      </c>
      <c r="AV23" s="23">
        <f t="shared" si="9"/>
        <v>0</v>
      </c>
      <c r="AW23" s="23">
        <f t="shared" si="10"/>
        <v>0</v>
      </c>
      <c r="AX23" s="24">
        <f t="shared" si="11"/>
        <v>0</v>
      </c>
    </row>
    <row r="24" ht="15.75" customHeight="1">
      <c r="A24" s="5">
        <v>21.0</v>
      </c>
      <c r="B24" s="5">
        <v>3.0</v>
      </c>
      <c r="C24" s="5">
        <v>1.0</v>
      </c>
      <c r="D24" s="5">
        <v>3.0</v>
      </c>
      <c r="E24" s="5">
        <v>2.0</v>
      </c>
      <c r="F24" s="11">
        <v>303.15</v>
      </c>
      <c r="G24" s="11">
        <v>5.0</v>
      </c>
      <c r="H24" s="12" t="s">
        <v>45</v>
      </c>
      <c r="I24" s="12">
        <v>600.0</v>
      </c>
      <c r="J24" s="12">
        <v>2750.0</v>
      </c>
      <c r="K24" s="13">
        <v>204000.0</v>
      </c>
      <c r="L24" s="14">
        <f>Assumptions!$B$6</f>
        <v>0.00016558</v>
      </c>
      <c r="M24" s="6">
        <f t="shared" si="1"/>
        <v>0.099348</v>
      </c>
      <c r="N24" s="6">
        <f>M24*J24*(Assumptions!$B$5-Assumptions!$B$4)</f>
        <v>2732.07</v>
      </c>
      <c r="O24" s="6">
        <f>Assumptions!$B$7</f>
        <v>5</v>
      </c>
      <c r="P24" s="6">
        <f t="shared" si="2"/>
        <v>3752.07</v>
      </c>
      <c r="Q24" s="12" t="s">
        <v>42</v>
      </c>
      <c r="R24" s="15">
        <v>2.68</v>
      </c>
      <c r="S24" s="16">
        <v>5.0E-12</v>
      </c>
      <c r="T24" s="27"/>
      <c r="U24" s="27"/>
      <c r="V24" s="27"/>
      <c r="W24" s="26" t="str">
        <f t="shared" si="3"/>
        <v/>
      </c>
      <c r="X24" s="26" t="str">
        <f t="shared" si="4"/>
        <v/>
      </c>
      <c r="Y24" s="27"/>
      <c r="Z24" s="6" t="str">
        <f t="shared" si="5"/>
        <v/>
      </c>
      <c r="AA24" s="28"/>
      <c r="AB24" s="27"/>
      <c r="AC24" s="28"/>
      <c r="AD24" s="27"/>
      <c r="AE24" s="6" t="str">
        <f t="shared" si="6"/>
        <v/>
      </c>
      <c r="AF24" s="28"/>
      <c r="AG24" s="27"/>
      <c r="AH24" s="28"/>
      <c r="AI24" s="27"/>
      <c r="AJ24" s="6" t="str">
        <f t="shared" si="7"/>
        <v/>
      </c>
      <c r="AK24" s="28"/>
      <c r="AL24" s="29"/>
      <c r="AM24" s="28"/>
      <c r="AN24" s="29"/>
      <c r="AO24" s="6" t="str">
        <f>IF(OR(AK24="",AL24="",AM24="",AN24=""),"",AK24+(Assumptions!$B$8-AL24)/(AN24-AL24)*(AM24-AK24))</f>
        <v/>
      </c>
      <c r="AP24" s="28"/>
      <c r="AQ24" s="29"/>
      <c r="AR24" s="28"/>
      <c r="AS24" s="29"/>
      <c r="AT24" s="6" t="str">
        <f>IF(OR(AP24="",AQ24="",AR24="",AS24=""),"",AP24+(Assumptions!$B$9-AQ24)/(AS24-AQ24)*(AR24-AP24))</f>
        <v/>
      </c>
      <c r="AU24" s="6" t="str">
        <f t="shared" si="8"/>
        <v/>
      </c>
      <c r="AV24" s="23">
        <f t="shared" si="9"/>
        <v>0</v>
      </c>
      <c r="AW24" s="23">
        <f t="shared" si="10"/>
        <v>0</v>
      </c>
      <c r="AX24" s="24">
        <f t="shared" si="11"/>
        <v>0</v>
      </c>
    </row>
    <row r="25" ht="15.75" customHeight="1">
      <c r="A25" s="5">
        <v>22.0</v>
      </c>
      <c r="B25" s="5">
        <v>3.0</v>
      </c>
      <c r="C25" s="5">
        <v>2.0</v>
      </c>
      <c r="D25" s="5">
        <v>1.0</v>
      </c>
      <c r="E25" s="5">
        <v>1.0</v>
      </c>
      <c r="F25" s="11">
        <v>303.15</v>
      </c>
      <c r="G25" s="11">
        <v>8.0</v>
      </c>
      <c r="H25" s="12" t="s">
        <v>36</v>
      </c>
      <c r="I25" s="12">
        <v>500.0</v>
      </c>
      <c r="J25" s="12">
        <v>2750.0</v>
      </c>
      <c r="K25" s="13">
        <v>186000.0</v>
      </c>
      <c r="L25" s="14">
        <f>Assumptions!$B$6</f>
        <v>0.00016558</v>
      </c>
      <c r="M25" s="6">
        <f t="shared" si="1"/>
        <v>0.08279</v>
      </c>
      <c r="N25" s="6">
        <f>M25*J25*(Assumptions!$B$5-Assumptions!$B$4)</f>
        <v>2276.725</v>
      </c>
      <c r="O25" s="6">
        <f>Assumptions!$B$7</f>
        <v>5</v>
      </c>
      <c r="P25" s="6">
        <f t="shared" si="2"/>
        <v>3206.725</v>
      </c>
      <c r="Q25" s="12" t="s">
        <v>52</v>
      </c>
      <c r="R25" s="15">
        <v>2.58</v>
      </c>
      <c r="S25" s="16">
        <v>5.0E-12</v>
      </c>
      <c r="T25" s="27"/>
      <c r="U25" s="27"/>
      <c r="V25" s="27"/>
      <c r="W25" s="26" t="str">
        <f t="shared" si="3"/>
        <v/>
      </c>
      <c r="X25" s="26" t="str">
        <f t="shared" si="4"/>
        <v/>
      </c>
      <c r="Y25" s="27"/>
      <c r="Z25" s="6" t="str">
        <f t="shared" si="5"/>
        <v/>
      </c>
      <c r="AA25" s="28"/>
      <c r="AB25" s="27"/>
      <c r="AC25" s="28"/>
      <c r="AD25" s="27"/>
      <c r="AE25" s="6" t="str">
        <f t="shared" si="6"/>
        <v/>
      </c>
      <c r="AF25" s="28"/>
      <c r="AG25" s="27"/>
      <c r="AH25" s="28"/>
      <c r="AI25" s="27"/>
      <c r="AJ25" s="6" t="str">
        <f t="shared" si="7"/>
        <v/>
      </c>
      <c r="AK25" s="28"/>
      <c r="AL25" s="29"/>
      <c r="AM25" s="28"/>
      <c r="AN25" s="29"/>
      <c r="AO25" s="6" t="str">
        <f>IF(OR(AK25="",AL25="",AM25="",AN25=""),"",AK25+(Assumptions!$B$8-AL25)/(AN25-AL25)*(AM25-AK25))</f>
        <v/>
      </c>
      <c r="AP25" s="28"/>
      <c r="AQ25" s="29"/>
      <c r="AR25" s="28"/>
      <c r="AS25" s="29"/>
      <c r="AT25" s="6" t="str">
        <f>IF(OR(AP25="",AQ25="",AR25="",AS25=""),"",AP25+(Assumptions!$B$9-AQ25)/(AS25-AQ25)*(AR25-AP25))</f>
        <v/>
      </c>
      <c r="AU25" s="6" t="str">
        <f t="shared" si="8"/>
        <v/>
      </c>
      <c r="AV25" s="23">
        <f t="shared" si="9"/>
        <v>0</v>
      </c>
      <c r="AW25" s="23">
        <f t="shared" si="10"/>
        <v>0</v>
      </c>
      <c r="AX25" s="24">
        <f t="shared" si="11"/>
        <v>0</v>
      </c>
    </row>
    <row r="26" ht="15.75" customHeight="1">
      <c r="A26" s="5">
        <v>23.0</v>
      </c>
      <c r="B26" s="5">
        <v>3.0</v>
      </c>
      <c r="C26" s="5">
        <v>2.0</v>
      </c>
      <c r="D26" s="5">
        <v>2.0</v>
      </c>
      <c r="E26" s="5">
        <v>2.0</v>
      </c>
      <c r="F26" s="11">
        <v>303.15</v>
      </c>
      <c r="G26" s="11">
        <v>8.0</v>
      </c>
      <c r="H26" s="12" t="s">
        <v>42</v>
      </c>
      <c r="I26" s="12">
        <v>550.0</v>
      </c>
      <c r="J26" s="12">
        <v>2750.0</v>
      </c>
      <c r="K26" s="13">
        <v>200000.0</v>
      </c>
      <c r="L26" s="14">
        <f>Assumptions!$B$6</f>
        <v>0.00016558</v>
      </c>
      <c r="M26" s="6">
        <f t="shared" si="1"/>
        <v>0.091069</v>
      </c>
      <c r="N26" s="6">
        <f>M26*J26*(Assumptions!$B$5-Assumptions!$B$4)</f>
        <v>2504.3975</v>
      </c>
      <c r="O26" s="6">
        <f>Assumptions!$B$7</f>
        <v>5</v>
      </c>
      <c r="P26" s="6">
        <f t="shared" si="2"/>
        <v>3504.3975</v>
      </c>
      <c r="Q26" s="12" t="s">
        <v>42</v>
      </c>
      <c r="R26" s="15">
        <v>2.68</v>
      </c>
      <c r="S26" s="16">
        <v>6.0E-11</v>
      </c>
      <c r="T26" s="27"/>
      <c r="U26" s="27"/>
      <c r="V26" s="27"/>
      <c r="W26" s="26" t="str">
        <f t="shared" si="3"/>
        <v/>
      </c>
      <c r="X26" s="26" t="str">
        <f t="shared" si="4"/>
        <v/>
      </c>
      <c r="Y26" s="27"/>
      <c r="Z26" s="6" t="str">
        <f t="shared" si="5"/>
        <v/>
      </c>
      <c r="AA26" s="28"/>
      <c r="AB26" s="27"/>
      <c r="AC26" s="28"/>
      <c r="AD26" s="27"/>
      <c r="AE26" s="6" t="str">
        <f t="shared" si="6"/>
        <v/>
      </c>
      <c r="AF26" s="28"/>
      <c r="AG26" s="27"/>
      <c r="AH26" s="28"/>
      <c r="AI26" s="27"/>
      <c r="AJ26" s="6" t="str">
        <f t="shared" si="7"/>
        <v/>
      </c>
      <c r="AK26" s="28"/>
      <c r="AL26" s="29"/>
      <c r="AM26" s="28"/>
      <c r="AN26" s="29"/>
      <c r="AO26" s="6" t="str">
        <f>IF(OR(AK26="",AL26="",AM26="",AN26=""),"",AK26+(Assumptions!$B$8-AL26)/(AN26-AL26)*(AM26-AK26))</f>
        <v/>
      </c>
      <c r="AP26" s="28"/>
      <c r="AQ26" s="29"/>
      <c r="AR26" s="28"/>
      <c r="AS26" s="29"/>
      <c r="AT26" s="6" t="str">
        <f>IF(OR(AP26="",AQ26="",AR26="",AS26=""),"",AP26+(Assumptions!$B$9-AQ26)/(AS26-AQ26)*(AR26-AP26))</f>
        <v/>
      </c>
      <c r="AU26" s="6" t="str">
        <f t="shared" si="8"/>
        <v/>
      </c>
      <c r="AV26" s="23">
        <f t="shared" si="9"/>
        <v>0</v>
      </c>
      <c r="AW26" s="23">
        <f t="shared" si="10"/>
        <v>0</v>
      </c>
      <c r="AX26" s="24">
        <f t="shared" si="11"/>
        <v>0</v>
      </c>
    </row>
    <row r="27" ht="15.75" customHeight="1">
      <c r="A27" s="5">
        <v>24.0</v>
      </c>
      <c r="B27" s="5">
        <v>3.0</v>
      </c>
      <c r="C27" s="5">
        <v>2.0</v>
      </c>
      <c r="D27" s="5">
        <v>3.0</v>
      </c>
      <c r="E27" s="5">
        <v>3.0</v>
      </c>
      <c r="F27" s="11">
        <v>303.15</v>
      </c>
      <c r="G27" s="11">
        <v>8.0</v>
      </c>
      <c r="H27" s="12" t="s">
        <v>45</v>
      </c>
      <c r="I27" s="12">
        <v>600.0</v>
      </c>
      <c r="J27" s="12">
        <v>2750.0</v>
      </c>
      <c r="K27" s="13">
        <v>204000.0</v>
      </c>
      <c r="L27" s="14">
        <f>Assumptions!$B$6</f>
        <v>0.00016558</v>
      </c>
      <c r="M27" s="6">
        <f t="shared" si="1"/>
        <v>0.099348</v>
      </c>
      <c r="N27" s="6">
        <f>M27*J27*(Assumptions!$B$5-Assumptions!$B$4)</f>
        <v>2732.07</v>
      </c>
      <c r="O27" s="6">
        <f>Assumptions!$B$7</f>
        <v>5</v>
      </c>
      <c r="P27" s="6">
        <f t="shared" si="2"/>
        <v>3752.07</v>
      </c>
      <c r="Q27" s="12" t="s">
        <v>58</v>
      </c>
      <c r="R27" s="15">
        <v>2.77</v>
      </c>
      <c r="S27" s="16">
        <v>2.0E-11</v>
      </c>
      <c r="T27" s="27"/>
      <c r="U27" s="27"/>
      <c r="V27" s="27"/>
      <c r="W27" s="26" t="str">
        <f t="shared" si="3"/>
        <v/>
      </c>
      <c r="X27" s="26" t="str">
        <f t="shared" si="4"/>
        <v/>
      </c>
      <c r="Y27" s="27"/>
      <c r="Z27" s="6" t="str">
        <f t="shared" si="5"/>
        <v/>
      </c>
      <c r="AA27" s="28"/>
      <c r="AB27" s="27"/>
      <c r="AC27" s="28"/>
      <c r="AD27" s="27"/>
      <c r="AE27" s="6" t="str">
        <f t="shared" si="6"/>
        <v/>
      </c>
      <c r="AF27" s="28"/>
      <c r="AG27" s="27"/>
      <c r="AH27" s="28"/>
      <c r="AI27" s="27"/>
      <c r="AJ27" s="6" t="str">
        <f t="shared" si="7"/>
        <v/>
      </c>
      <c r="AK27" s="28"/>
      <c r="AL27" s="29"/>
      <c r="AM27" s="28"/>
      <c r="AN27" s="29"/>
      <c r="AO27" s="6" t="str">
        <f>IF(OR(AK27="",AL27="",AM27="",AN27=""),"",AK27+(Assumptions!$B$8-AL27)/(AN27-AL27)*(AM27-AK27))</f>
        <v/>
      </c>
      <c r="AP27" s="28"/>
      <c r="AQ27" s="29"/>
      <c r="AR27" s="28"/>
      <c r="AS27" s="29"/>
      <c r="AT27" s="6" t="str">
        <f>IF(OR(AP27="",AQ27="",AR27="",AS27=""),"",AP27+(Assumptions!$B$9-AQ27)/(AS27-AQ27)*(AR27-AP27))</f>
        <v/>
      </c>
      <c r="AU27" s="6" t="str">
        <f t="shared" si="8"/>
        <v/>
      </c>
      <c r="AV27" s="23">
        <f t="shared" si="9"/>
        <v>0</v>
      </c>
      <c r="AW27" s="23">
        <f t="shared" si="10"/>
        <v>0</v>
      </c>
      <c r="AX27" s="24">
        <f t="shared" si="11"/>
        <v>0</v>
      </c>
    </row>
    <row r="28" ht="15.75" customHeight="1">
      <c r="A28" s="5">
        <v>25.0</v>
      </c>
      <c r="B28" s="5">
        <v>3.0</v>
      </c>
      <c r="C28" s="5">
        <v>3.0</v>
      </c>
      <c r="D28" s="5">
        <v>1.0</v>
      </c>
      <c r="E28" s="5">
        <v>2.0</v>
      </c>
      <c r="F28" s="11">
        <v>303.15</v>
      </c>
      <c r="G28" s="11">
        <v>12.0</v>
      </c>
      <c r="H28" s="12" t="s">
        <v>36</v>
      </c>
      <c r="I28" s="12">
        <v>500.0</v>
      </c>
      <c r="J28" s="12">
        <v>2750.0</v>
      </c>
      <c r="K28" s="13">
        <v>186000.0</v>
      </c>
      <c r="L28" s="14">
        <f>Assumptions!$B$6</f>
        <v>0.00016558</v>
      </c>
      <c r="M28" s="6">
        <f t="shared" si="1"/>
        <v>0.08279</v>
      </c>
      <c r="N28" s="6">
        <f>M28*J28*(Assumptions!$B$5-Assumptions!$B$4)</f>
        <v>2276.725</v>
      </c>
      <c r="O28" s="6">
        <f>Assumptions!$B$7</f>
        <v>5</v>
      </c>
      <c r="P28" s="6">
        <f t="shared" si="2"/>
        <v>3206.725</v>
      </c>
      <c r="Q28" s="12" t="s">
        <v>42</v>
      </c>
      <c r="R28" s="15">
        <v>2.68</v>
      </c>
      <c r="S28" s="16">
        <v>2.0E-11</v>
      </c>
      <c r="T28" s="27"/>
      <c r="U28" s="27"/>
      <c r="V28" s="27"/>
      <c r="W28" s="26" t="str">
        <f t="shared" si="3"/>
        <v/>
      </c>
      <c r="X28" s="26" t="str">
        <f t="shared" si="4"/>
        <v/>
      </c>
      <c r="Y28" s="27"/>
      <c r="Z28" s="6" t="str">
        <f t="shared" si="5"/>
        <v/>
      </c>
      <c r="AA28" s="28"/>
      <c r="AB28" s="27"/>
      <c r="AC28" s="28"/>
      <c r="AD28" s="27"/>
      <c r="AE28" s="6" t="str">
        <f t="shared" si="6"/>
        <v/>
      </c>
      <c r="AF28" s="28"/>
      <c r="AG28" s="27"/>
      <c r="AH28" s="28"/>
      <c r="AI28" s="27"/>
      <c r="AJ28" s="6" t="str">
        <f t="shared" si="7"/>
        <v/>
      </c>
      <c r="AK28" s="28"/>
      <c r="AL28" s="29"/>
      <c r="AM28" s="28"/>
      <c r="AN28" s="29"/>
      <c r="AO28" s="6" t="str">
        <f>IF(OR(AK28="",AL28="",AM28="",AN28=""),"",AK28+(Assumptions!$B$8-AL28)/(AN28-AL28)*(AM28-AK28))</f>
        <v/>
      </c>
      <c r="AP28" s="28"/>
      <c r="AQ28" s="29"/>
      <c r="AR28" s="28"/>
      <c r="AS28" s="29"/>
      <c r="AT28" s="6" t="str">
        <f>IF(OR(AP28="",AQ28="",AR28="",AS28=""),"",AP28+(Assumptions!$B$9-AQ28)/(AS28-AQ28)*(AR28-AP28))</f>
        <v/>
      </c>
      <c r="AU28" s="6" t="str">
        <f t="shared" si="8"/>
        <v/>
      </c>
      <c r="AV28" s="23">
        <f t="shared" si="9"/>
        <v>0</v>
      </c>
      <c r="AW28" s="23">
        <f t="shared" si="10"/>
        <v>0</v>
      </c>
      <c r="AX28" s="24">
        <f t="shared" si="11"/>
        <v>0</v>
      </c>
    </row>
    <row r="29" ht="15.75" customHeight="1">
      <c r="A29" s="5">
        <v>26.0</v>
      </c>
      <c r="B29" s="5">
        <v>3.0</v>
      </c>
      <c r="C29" s="5">
        <v>3.0</v>
      </c>
      <c r="D29" s="5">
        <v>2.0</v>
      </c>
      <c r="E29" s="5">
        <v>3.0</v>
      </c>
      <c r="F29" s="11">
        <v>303.15</v>
      </c>
      <c r="G29" s="11">
        <v>12.0</v>
      </c>
      <c r="H29" s="12" t="s">
        <v>42</v>
      </c>
      <c r="I29" s="12">
        <v>550.0</v>
      </c>
      <c r="J29" s="12">
        <v>2750.0</v>
      </c>
      <c r="K29" s="13">
        <v>200000.0</v>
      </c>
      <c r="L29" s="14">
        <f>Assumptions!$B$6</f>
        <v>0.00016558</v>
      </c>
      <c r="M29" s="6">
        <f t="shared" si="1"/>
        <v>0.091069</v>
      </c>
      <c r="N29" s="6">
        <f>M29*J29*(Assumptions!$B$5-Assumptions!$B$4)</f>
        <v>2504.3975</v>
      </c>
      <c r="O29" s="6">
        <f>Assumptions!$B$7</f>
        <v>5</v>
      </c>
      <c r="P29" s="6">
        <f t="shared" si="2"/>
        <v>3504.3975</v>
      </c>
      <c r="Q29" s="12" t="s">
        <v>58</v>
      </c>
      <c r="R29" s="15">
        <v>2.77</v>
      </c>
      <c r="S29" s="16">
        <v>5.0E-12</v>
      </c>
      <c r="T29" s="27"/>
      <c r="U29" s="27"/>
      <c r="V29" s="27"/>
      <c r="W29" s="26" t="str">
        <f t="shared" si="3"/>
        <v/>
      </c>
      <c r="X29" s="26" t="str">
        <f t="shared" si="4"/>
        <v/>
      </c>
      <c r="Y29" s="27"/>
      <c r="Z29" s="6" t="str">
        <f t="shared" si="5"/>
        <v/>
      </c>
      <c r="AA29" s="28"/>
      <c r="AB29" s="27"/>
      <c r="AC29" s="28"/>
      <c r="AD29" s="27"/>
      <c r="AE29" s="6" t="str">
        <f t="shared" si="6"/>
        <v/>
      </c>
      <c r="AF29" s="28"/>
      <c r="AG29" s="27"/>
      <c r="AH29" s="28"/>
      <c r="AI29" s="27"/>
      <c r="AJ29" s="6" t="str">
        <f t="shared" si="7"/>
        <v/>
      </c>
      <c r="AK29" s="28"/>
      <c r="AL29" s="29"/>
      <c r="AM29" s="28"/>
      <c r="AN29" s="29"/>
      <c r="AO29" s="6" t="str">
        <f>IF(OR(AK29="",AL29="",AM29="",AN29=""),"",AK29+(Assumptions!$B$8-AL29)/(AN29-AL29)*(AM29-AK29))</f>
        <v/>
      </c>
      <c r="AP29" s="28"/>
      <c r="AQ29" s="29"/>
      <c r="AR29" s="28"/>
      <c r="AS29" s="29"/>
      <c r="AT29" s="6" t="str">
        <f>IF(OR(AP29="",AQ29="",AR29="",AS29=""),"",AP29+(Assumptions!$B$9-AQ29)/(AS29-AQ29)*(AR29-AP29))</f>
        <v/>
      </c>
      <c r="AU29" s="6" t="str">
        <f t="shared" si="8"/>
        <v/>
      </c>
      <c r="AV29" s="23">
        <f t="shared" si="9"/>
        <v>0</v>
      </c>
      <c r="AW29" s="23">
        <f t="shared" si="10"/>
        <v>0</v>
      </c>
      <c r="AX29" s="24">
        <f t="shared" si="11"/>
        <v>0</v>
      </c>
    </row>
    <row r="30" ht="15.75" customHeight="1">
      <c r="A30" s="5">
        <v>27.0</v>
      </c>
      <c r="B30" s="5">
        <v>3.0</v>
      </c>
      <c r="C30" s="5">
        <v>3.0</v>
      </c>
      <c r="D30" s="5">
        <v>3.0</v>
      </c>
      <c r="E30" s="5">
        <v>1.0</v>
      </c>
      <c r="F30" s="11">
        <v>303.15</v>
      </c>
      <c r="G30" s="11">
        <v>12.0</v>
      </c>
      <c r="H30" s="12" t="s">
        <v>45</v>
      </c>
      <c r="I30" s="12">
        <v>600.0</v>
      </c>
      <c r="J30" s="12">
        <v>2750.0</v>
      </c>
      <c r="K30" s="13">
        <v>204000.0</v>
      </c>
      <c r="L30" s="14">
        <f>Assumptions!$B$6</f>
        <v>0.00016558</v>
      </c>
      <c r="M30" s="6">
        <f t="shared" si="1"/>
        <v>0.099348</v>
      </c>
      <c r="N30" s="6">
        <f>M30*J30*(Assumptions!$B$5-Assumptions!$B$4)</f>
        <v>2732.07</v>
      </c>
      <c r="O30" s="6">
        <f>Assumptions!$B$7</f>
        <v>5</v>
      </c>
      <c r="P30" s="6">
        <f t="shared" si="2"/>
        <v>3752.07</v>
      </c>
      <c r="Q30" s="12" t="s">
        <v>52</v>
      </c>
      <c r="R30" s="15">
        <v>2.58</v>
      </c>
      <c r="S30" s="16">
        <v>6.0E-11</v>
      </c>
      <c r="T30" s="27"/>
      <c r="U30" s="27"/>
      <c r="V30" s="27"/>
      <c r="W30" s="26" t="str">
        <f t="shared" si="3"/>
        <v/>
      </c>
      <c r="X30" s="26" t="str">
        <f t="shared" si="4"/>
        <v/>
      </c>
      <c r="Y30" s="27"/>
      <c r="Z30" s="6" t="str">
        <f t="shared" si="5"/>
        <v/>
      </c>
      <c r="AA30" s="28"/>
      <c r="AB30" s="27"/>
      <c r="AC30" s="28"/>
      <c r="AD30" s="27"/>
      <c r="AE30" s="6" t="str">
        <f t="shared" si="6"/>
        <v/>
      </c>
      <c r="AF30" s="28"/>
      <c r="AG30" s="27"/>
      <c r="AH30" s="28"/>
      <c r="AI30" s="27"/>
      <c r="AJ30" s="6" t="str">
        <f t="shared" si="7"/>
        <v/>
      </c>
      <c r="AK30" s="28"/>
      <c r="AL30" s="29"/>
      <c r="AM30" s="28"/>
      <c r="AN30" s="29"/>
      <c r="AO30" s="6" t="str">
        <f>IF(OR(AK30="",AL30="",AM30="",AN30=""),"",AK30+(Assumptions!$B$8-AL30)/(AN30-AL30)*(AM30-AK30))</f>
        <v/>
      </c>
      <c r="AP30" s="28"/>
      <c r="AQ30" s="29"/>
      <c r="AR30" s="28"/>
      <c r="AS30" s="29"/>
      <c r="AT30" s="6" t="str">
        <f>IF(OR(AP30="",AQ30="",AR30="",AS30=""),"",AP30+(Assumptions!$B$9-AQ30)/(AS30-AQ30)*(AR30-AP30))</f>
        <v/>
      </c>
      <c r="AU30" s="6" t="str">
        <f t="shared" si="8"/>
        <v/>
      </c>
      <c r="AV30" s="23">
        <f t="shared" si="9"/>
        <v>0</v>
      </c>
      <c r="AW30" s="23">
        <f t="shared" si="10"/>
        <v>0</v>
      </c>
      <c r="AX30" s="24">
        <f t="shared" si="11"/>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U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0.0"/>
    <col customWidth="1" min="3" max="3" width="20.0"/>
    <col customWidth="1" min="4" max="4" width="36.0"/>
    <col customWidth="1" min="5" max="5" width="72.0"/>
    <col customWidth="1" min="6" max="6" width="18.0"/>
    <col customWidth="1" min="7" max="26" width="9.0"/>
  </cols>
  <sheetData>
    <row r="1">
      <c r="A1" s="1" t="s">
        <v>146</v>
      </c>
      <c r="B1" s="2"/>
      <c r="C1" s="2"/>
      <c r="D1" s="2"/>
      <c r="E1" s="2"/>
      <c r="F1" s="3"/>
    </row>
    <row r="3">
      <c r="A3" s="4" t="s">
        <v>147</v>
      </c>
      <c r="B3" s="4" t="s">
        <v>148</v>
      </c>
      <c r="C3" s="4" t="s">
        <v>149</v>
      </c>
      <c r="D3" s="4" t="s">
        <v>150</v>
      </c>
      <c r="E3" s="4" t="s">
        <v>151</v>
      </c>
      <c r="F3" s="4" t="s">
        <v>35</v>
      </c>
    </row>
    <row r="4">
      <c r="A4" s="5" t="s">
        <v>152</v>
      </c>
      <c r="B4" s="5" t="s">
        <v>153</v>
      </c>
      <c r="C4" s="5" t="s">
        <v>43</v>
      </c>
      <c r="D4" s="5" t="s">
        <v>154</v>
      </c>
      <c r="E4" s="5" t="s">
        <v>155</v>
      </c>
      <c r="F4" s="5" t="s">
        <v>41</v>
      </c>
    </row>
    <row r="5">
      <c r="A5" s="5" t="s">
        <v>156</v>
      </c>
      <c r="B5" s="5" t="s">
        <v>157</v>
      </c>
      <c r="C5" s="5" t="s">
        <v>43</v>
      </c>
      <c r="D5" s="5" t="s">
        <v>158</v>
      </c>
      <c r="E5" s="5" t="s">
        <v>159</v>
      </c>
      <c r="F5" s="5" t="s">
        <v>41</v>
      </c>
    </row>
    <row r="6">
      <c r="A6" s="5" t="s">
        <v>160</v>
      </c>
      <c r="B6" s="5" t="s">
        <v>161</v>
      </c>
      <c r="C6" s="5" t="s">
        <v>43</v>
      </c>
      <c r="D6" s="5" t="s">
        <v>162</v>
      </c>
      <c r="E6" s="5" t="s">
        <v>163</v>
      </c>
      <c r="F6" s="5" t="s">
        <v>41</v>
      </c>
    </row>
    <row r="7">
      <c r="A7" s="5" t="s">
        <v>164</v>
      </c>
      <c r="B7" s="5" t="s">
        <v>165</v>
      </c>
      <c r="C7" s="5" t="s">
        <v>166</v>
      </c>
      <c r="D7" s="5" t="s">
        <v>167</v>
      </c>
      <c r="E7" s="5" t="s">
        <v>168</v>
      </c>
      <c r="F7" s="5" t="s">
        <v>41</v>
      </c>
    </row>
    <row r="12" ht="283.5" customHeight="1">
      <c r="B12" s="30" t="s">
        <v>169</v>
      </c>
    </row>
    <row r="15">
      <c r="B15" s="31" t="s">
        <v>170</v>
      </c>
      <c r="E15" s="32"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B12:E12"/>
    <mergeCell ref="B15:D28"/>
    <mergeCell ref="E15:H28"/>
  </mergeCells>
  <hyperlinks>
    <hyperlink r:id="rId1" ref="E1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2026-04-16T07:56:05Z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374B6363D5C74DBD9A41A749809F67D1_13</vt:lpwstr>
  </property>
  <property fmtid="{D5CDD505-2E9C-101B-9397-08002B2CF9AE}" pid="3" name="KSOProductBuildVer">
    <vt:lpwstr>2052-12.1.0.25225</vt:lpwstr>
  </property>
  <property fmtid="{D5CDD505-2E9C-101B-9397-08002B2CF9AE}" pid="4" name="CalculationRule">
    <vt:i4>0</vt:i4>
  </property>
</Properties>
</file>