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 and Conditions" sheetId="1" r:id="rId5"/>
    <sheet state="visible" name="Tillamook Vanilla Bean" sheetId="2" r:id="rId6"/>
    <sheet state="visible" name="Breyers Vanilla " sheetId="3" r:id="rId7"/>
    <sheet state="visible" name="Breyers Vanilla Lactose Free" sheetId="4" r:id="rId8"/>
    <sheet state="visible" name="Tillamook Mint Chocholate Chip" sheetId="5" r:id="rId9"/>
    <sheet state="visible" name="Tillamook Rocky Road" sheetId="6" r:id="rId10"/>
    <sheet state="visible" name="Breyers Mint Chocholate Chip" sheetId="7" r:id="rId11"/>
    <sheet state="visible" name="Cone Sogginess Test" sheetId="8" r:id="rId12"/>
  </sheets>
  <definedNames/>
  <calcPr/>
</workbook>
</file>

<file path=xl/sharedStrings.xml><?xml version="1.0" encoding="utf-8"?>
<sst xmlns="http://schemas.openxmlformats.org/spreadsheetml/2006/main" count="225" uniqueCount="97">
  <si>
    <t>Waffle Cone Avg height</t>
  </si>
  <si>
    <t>14cm</t>
  </si>
  <si>
    <t xml:space="preserve">Waffle Cone Diameter </t>
  </si>
  <si>
    <t>6.5cm</t>
  </si>
  <si>
    <t>Waffle cone thickness</t>
  </si>
  <si>
    <t>0.15cm</t>
  </si>
  <si>
    <t>Ice Cream Cup Diameter</t>
  </si>
  <si>
    <t>6cm</t>
  </si>
  <si>
    <t>Ice Cream Cup Height</t>
  </si>
  <si>
    <t>7.5cm</t>
  </si>
  <si>
    <t xml:space="preserve">Ice Cream Cup Thickness </t>
  </si>
  <si>
    <t>0.7cm</t>
  </si>
  <si>
    <t>Amb T</t>
  </si>
  <si>
    <t>21C</t>
  </si>
  <si>
    <t>No noticeable airflow</t>
  </si>
  <si>
    <t>Waffle Cone</t>
  </si>
  <si>
    <t>Cup Cone</t>
  </si>
  <si>
    <t>First visible drip time (s)</t>
  </si>
  <si>
    <t>Initial mass</t>
  </si>
  <si>
    <t>2.92oz</t>
  </si>
  <si>
    <t>g</t>
  </si>
  <si>
    <t>3.56oz</t>
  </si>
  <si>
    <t>Volume of frozen mass</t>
  </si>
  <si>
    <t>0.5 cups (roughly)</t>
  </si>
  <si>
    <t xml:space="preserve">m^3 </t>
  </si>
  <si>
    <t>Liquid ice cream density</t>
  </si>
  <si>
    <t>637.9 kg/m^3</t>
  </si>
  <si>
    <t>4mL=0.09oz</t>
  </si>
  <si>
    <t>637.9 kg/m^3 (from 4mL=0.09oz)</t>
  </si>
  <si>
    <t>time (s)</t>
  </si>
  <si>
    <t>Internal Temperature (C)</t>
  </si>
  <si>
    <t>Edge Temperature (C)</t>
  </si>
  <si>
    <t>Dry Waffle Cone Mass</t>
  </si>
  <si>
    <t>0.70oz</t>
  </si>
  <si>
    <t>Dry Cup Cone</t>
  </si>
  <si>
    <t>0.21oz</t>
  </si>
  <si>
    <t>Waffle Cone Mass Overall</t>
  </si>
  <si>
    <t>1.12oz</t>
  </si>
  <si>
    <t>Cup Cone Mass Overall (with melt)</t>
  </si>
  <si>
    <t>0.63oz</t>
  </si>
  <si>
    <t>Waffle Cone With Ice Cream Diffused in</t>
  </si>
  <si>
    <t>0.88oz</t>
  </si>
  <si>
    <t>Cup Cone With Ice Cream Diffused in</t>
  </si>
  <si>
    <t>0.38oz</t>
  </si>
  <si>
    <t>Dry mass: 0.21oz</t>
  </si>
  <si>
    <t>Sogginess at End</t>
  </si>
  <si>
    <t>Slight, 3/10</t>
  </si>
  <si>
    <t>Very soggy, unpleasant, 8/10</t>
  </si>
  <si>
    <t>Sources of error: nonspherical scoops, residual loss in mass measurement</t>
  </si>
  <si>
    <t>Notes</t>
  </si>
  <si>
    <t>Internal temperature should be consistent, but variations in the geometry of the ice cream affect this</t>
  </si>
  <si>
    <t>Mass variations despite the same volume indicate not exact measurements (which makes sense)</t>
  </si>
  <si>
    <t>3.11oz</t>
  </si>
  <si>
    <t>3.42oz</t>
  </si>
  <si>
    <t>m^3</t>
  </si>
  <si>
    <t>1275.72854 kg/m^3</t>
  </si>
  <si>
    <t>4mL=0.18oz</t>
  </si>
  <si>
    <t>Tillamook Vanilla is much more airy</t>
  </si>
  <si>
    <t>Ice Cream Cup</t>
  </si>
  <si>
    <t>0.74oz</t>
  </si>
  <si>
    <t>Dry Cup Cone Mass</t>
  </si>
  <si>
    <t>Waffle Cone Mass Overall (with melt)</t>
  </si>
  <si>
    <t>1.16oz</t>
  </si>
  <si>
    <t>0.72oz</t>
  </si>
  <si>
    <t>0.81oz</t>
  </si>
  <si>
    <t>Liquid removed for this</t>
  </si>
  <si>
    <t>0.31oz</t>
  </si>
  <si>
    <t>Not Very Soggy, 2/10</t>
  </si>
  <si>
    <t>Not too bad, still soggy, 4/10</t>
  </si>
  <si>
    <t>Sources of error: nonspherical scoops, residual loss in measurement</t>
  </si>
  <si>
    <t>Appears more dense, less fluffy compared to tillamook which was creamier</t>
  </si>
  <si>
    <t>More spherical, appears to hold internal temp better</t>
  </si>
  <si>
    <t>Much less dripping happening</t>
  </si>
  <si>
    <t>First visible drip time</t>
  </si>
  <si>
    <t>VERY fluid</t>
  </si>
  <si>
    <t>3.25oz</t>
  </si>
  <si>
    <t>3.1oz</t>
  </si>
  <si>
    <t>779.61 kg/m^3</t>
  </si>
  <si>
    <t>4mL=0.11oz</t>
  </si>
  <si>
    <t>1.14oz</t>
  </si>
  <si>
    <t>1/10 sogginess</t>
  </si>
  <si>
    <t>more sogginess towards bottom, dispersed more due to more liquid in contact</t>
  </si>
  <si>
    <t>Similar in texture to tillamook, similar creaminess and malleable</t>
  </si>
  <si>
    <t>First one where ice cream went through bottom</t>
  </si>
  <si>
    <t>Spherical shape seemed to give a more uniform internal temperature</t>
  </si>
  <si>
    <t>2.89oz</t>
  </si>
  <si>
    <t>0.5 cups</t>
  </si>
  <si>
    <t>0.98oz</t>
  </si>
  <si>
    <t>1/10, not too soggy</t>
  </si>
  <si>
    <t>1/10, still very crisp</t>
  </si>
  <si>
    <t>Breyers mint density</t>
  </si>
  <si>
    <t>4mL=0.14oz</t>
  </si>
  <si>
    <t>Soaking both cones in melted ice cream bath, measuring mass after cleaning up at each time interval</t>
  </si>
  <si>
    <t>Waffle Cone Mass (oz)</t>
  </si>
  <si>
    <t>Ice Cream Cup Cone Mass (oz)</t>
  </si>
  <si>
    <t>Waffle Sogginess</t>
  </si>
  <si>
    <t>Cup Sogginess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</si>
</sst>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/>
      <c r="B5" s="1"/>
    </row>
    <row r="6">
      <c r="A6" s="1" t="s">
        <v>6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1" t="s">
        <v>13</v>
      </c>
    </row>
    <row r="11">
      <c r="A11" s="1" t="s">
        <v>14</v>
      </c>
    </row>
    <row r="12">
      <c r="A1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9.13"/>
    <col customWidth="1" min="3" max="3" width="17.5"/>
    <col customWidth="1" min="7" max="7" width="30.38"/>
    <col customWidth="1" min="8" max="8" width="25.5"/>
  </cols>
  <sheetData>
    <row r="1">
      <c r="A1" s="2" t="s">
        <v>15</v>
      </c>
      <c r="F1" s="3"/>
      <c r="G1" s="2" t="s">
        <v>16</v>
      </c>
    </row>
    <row r="2">
      <c r="A2" s="1" t="s">
        <v>17</v>
      </c>
      <c r="B2" s="1">
        <v>135.0</v>
      </c>
      <c r="F2" s="3"/>
      <c r="G2" s="1" t="s">
        <v>17</v>
      </c>
      <c r="H2" s="1">
        <v>245.0</v>
      </c>
    </row>
    <row r="3">
      <c r="F3" s="3"/>
    </row>
    <row r="4">
      <c r="A4" s="1" t="s">
        <v>18</v>
      </c>
      <c r="B4" s="1" t="s">
        <v>19</v>
      </c>
      <c r="C4" s="1">
        <v>82.78</v>
      </c>
      <c r="D4" s="1" t="s">
        <v>20</v>
      </c>
      <c r="F4" s="3"/>
      <c r="G4" s="1" t="s">
        <v>18</v>
      </c>
      <c r="H4" s="1" t="s">
        <v>21</v>
      </c>
      <c r="I4" s="1">
        <v>100.92</v>
      </c>
      <c r="J4" s="1" t="s">
        <v>20</v>
      </c>
    </row>
    <row r="5">
      <c r="A5" s="1" t="s">
        <v>22</v>
      </c>
      <c r="B5" s="1" t="s">
        <v>23</v>
      </c>
      <c r="C5" s="1">
        <v>1.29769556357E-4</v>
      </c>
      <c r="D5" s="1" t="s">
        <v>24</v>
      </c>
      <c r="F5" s="3"/>
      <c r="G5" s="1" t="s">
        <v>22</v>
      </c>
      <c r="H5" s="1" t="s">
        <v>23</v>
      </c>
      <c r="I5" s="1">
        <v>1.58206615457E-4</v>
      </c>
      <c r="J5" s="1" t="s">
        <v>24</v>
      </c>
    </row>
    <row r="6">
      <c r="A6" s="4" t="s">
        <v>25</v>
      </c>
      <c r="B6" s="1" t="s">
        <v>26</v>
      </c>
      <c r="C6" s="1" t="s">
        <v>27</v>
      </c>
      <c r="F6" s="3"/>
      <c r="G6" s="4" t="s">
        <v>25</v>
      </c>
      <c r="H6" s="1" t="s">
        <v>28</v>
      </c>
      <c r="I6" s="1" t="s">
        <v>27</v>
      </c>
    </row>
    <row r="7">
      <c r="A7" s="4"/>
      <c r="B7" s="1"/>
      <c r="F7" s="3"/>
      <c r="G7" s="4"/>
    </row>
    <row r="8">
      <c r="A8" s="1" t="s">
        <v>29</v>
      </c>
      <c r="B8" s="1" t="s">
        <v>30</v>
      </c>
      <c r="C8" s="1" t="s">
        <v>31</v>
      </c>
      <c r="F8" s="3"/>
      <c r="G8" s="1" t="s">
        <v>29</v>
      </c>
      <c r="H8" s="1" t="s">
        <v>30</v>
      </c>
      <c r="I8" s="1" t="s">
        <v>31</v>
      </c>
    </row>
    <row r="9">
      <c r="A9" s="1">
        <v>0.0</v>
      </c>
      <c r="B9" s="1">
        <v>-10.0</v>
      </c>
      <c r="C9" s="1">
        <v>-10.0</v>
      </c>
      <c r="F9" s="3"/>
      <c r="G9" s="1">
        <v>0.0</v>
      </c>
      <c r="H9" s="1">
        <v>-8.0</v>
      </c>
      <c r="I9" s="1">
        <v>-7.0</v>
      </c>
    </row>
    <row r="10">
      <c r="A10" s="1">
        <v>135.0</v>
      </c>
      <c r="B10" s="1">
        <v>-10.0</v>
      </c>
      <c r="C10" s="1">
        <v>-7.0</v>
      </c>
      <c r="F10" s="3"/>
      <c r="G10" s="1">
        <v>105.0</v>
      </c>
      <c r="H10" s="1">
        <v>-2.0</v>
      </c>
      <c r="I10" s="1">
        <v>-5.0</v>
      </c>
    </row>
    <row r="11">
      <c r="A11" s="1">
        <v>170.0</v>
      </c>
      <c r="B11" s="1">
        <v>-10.0</v>
      </c>
      <c r="C11" s="1">
        <v>-5.0</v>
      </c>
      <c r="F11" s="3"/>
      <c r="G11" s="1">
        <v>210.0</v>
      </c>
      <c r="H11" s="1">
        <v>-5.0</v>
      </c>
      <c r="I11" s="1">
        <v>0.0</v>
      </c>
    </row>
    <row r="12">
      <c r="A12" s="1">
        <v>360.0</v>
      </c>
      <c r="B12" s="1">
        <v>-10.0</v>
      </c>
      <c r="C12" s="1">
        <v>-2.0</v>
      </c>
      <c r="F12" s="3"/>
      <c r="G12" s="1">
        <v>300.0</v>
      </c>
      <c r="H12" s="1">
        <v>-3.0</v>
      </c>
      <c r="I12" s="1">
        <v>2.0</v>
      </c>
    </row>
    <row r="13">
      <c r="A13" s="1">
        <v>525.0</v>
      </c>
      <c r="B13" s="1">
        <v>-6.0</v>
      </c>
      <c r="C13" s="1">
        <v>6.0</v>
      </c>
      <c r="F13" s="3"/>
      <c r="G13" s="1">
        <v>390.0</v>
      </c>
      <c r="H13" s="1">
        <v>-2.0</v>
      </c>
      <c r="I13" s="1">
        <v>5.0</v>
      </c>
    </row>
    <row r="14">
      <c r="A14" s="1">
        <v>690.0</v>
      </c>
      <c r="B14" s="1">
        <v>-5.0</v>
      </c>
      <c r="C14" s="1">
        <v>9.0</v>
      </c>
      <c r="F14" s="3"/>
      <c r="G14" s="1">
        <v>517.0</v>
      </c>
      <c r="H14" s="1">
        <v>-1.0</v>
      </c>
      <c r="I14" s="1">
        <v>8.0</v>
      </c>
    </row>
    <row r="15">
      <c r="A15" s="1">
        <v>750.0</v>
      </c>
      <c r="B15" s="1">
        <v>-4.0</v>
      </c>
      <c r="C15" s="1">
        <v>10.0</v>
      </c>
      <c r="F15" s="3"/>
      <c r="G15" s="1">
        <v>600.0</v>
      </c>
      <c r="H15" s="1">
        <v>3.0</v>
      </c>
      <c r="I15" s="1">
        <v>10.0</v>
      </c>
    </row>
    <row r="16">
      <c r="F16" s="3"/>
      <c r="G16" s="1">
        <v>720.0</v>
      </c>
      <c r="H16" s="1">
        <v>4.0</v>
      </c>
      <c r="I16" s="1">
        <v>11.0</v>
      </c>
    </row>
    <row r="17">
      <c r="A17" s="1"/>
      <c r="B17" s="1"/>
      <c r="F17" s="3"/>
    </row>
    <row r="18">
      <c r="A18" s="1" t="s">
        <v>32</v>
      </c>
      <c r="B18" s="1" t="s">
        <v>33</v>
      </c>
      <c r="F18" s="3"/>
      <c r="G18" s="5" t="s">
        <v>34</v>
      </c>
      <c r="H18" s="5" t="s">
        <v>35</v>
      </c>
    </row>
    <row r="19">
      <c r="A19" s="1" t="s">
        <v>36</v>
      </c>
      <c r="B19" s="1" t="s">
        <v>37</v>
      </c>
      <c r="F19" s="3"/>
      <c r="G19" s="1" t="s">
        <v>38</v>
      </c>
      <c r="H19" s="1" t="s">
        <v>39</v>
      </c>
    </row>
    <row r="20">
      <c r="A20" s="1" t="s">
        <v>40</v>
      </c>
      <c r="B20" s="1" t="s">
        <v>41</v>
      </c>
      <c r="F20" s="3"/>
      <c r="G20" s="1" t="s">
        <v>42</v>
      </c>
      <c r="H20" s="1" t="s">
        <v>43</v>
      </c>
      <c r="I20" s="1" t="s">
        <v>44</v>
      </c>
    </row>
    <row r="21">
      <c r="A21" s="1" t="s">
        <v>45</v>
      </c>
      <c r="B21" s="1" t="s">
        <v>46</v>
      </c>
      <c r="F21" s="3"/>
      <c r="G21" s="1" t="s">
        <v>45</v>
      </c>
      <c r="H21" s="1" t="s">
        <v>47</v>
      </c>
    </row>
    <row r="22">
      <c r="F22" s="3"/>
    </row>
    <row r="23">
      <c r="F23" s="3"/>
    </row>
    <row r="24">
      <c r="A24" s="4" t="s">
        <v>48</v>
      </c>
      <c r="F24" s="3"/>
    </row>
    <row r="25">
      <c r="F25" s="3"/>
    </row>
    <row r="26">
      <c r="A26" s="2" t="s">
        <v>49</v>
      </c>
      <c r="F26" s="3"/>
    </row>
    <row r="27">
      <c r="A27" s="1" t="s">
        <v>50</v>
      </c>
      <c r="F27" s="3"/>
    </row>
    <row r="28">
      <c r="A28" s="1" t="s">
        <v>51</v>
      </c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  <row r="1003">
      <c r="F1003" s="3"/>
    </row>
    <row r="1004">
      <c r="F1004" s="3"/>
    </row>
    <row r="1005">
      <c r="F1005" s="3"/>
    </row>
    <row r="1006">
      <c r="F1006" s="3"/>
    </row>
    <row r="1007">
      <c r="F1007" s="3"/>
    </row>
  </sheetData>
  <mergeCells count="2">
    <mergeCell ref="A1:E1"/>
    <mergeCell ref="G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9.13"/>
    <col customWidth="1" min="3" max="3" width="17.88"/>
    <col customWidth="1" min="7" max="7" width="30.38"/>
    <col customWidth="1" min="8" max="8" width="21.88"/>
    <col customWidth="1" min="9" max="9" width="17.88"/>
  </cols>
  <sheetData>
    <row r="1">
      <c r="A1" s="2" t="s">
        <v>15</v>
      </c>
      <c r="F1" s="3"/>
      <c r="G1" s="2" t="s">
        <v>16</v>
      </c>
    </row>
    <row r="2">
      <c r="A2" s="1" t="s">
        <v>17</v>
      </c>
      <c r="B2" s="1">
        <v>360.0</v>
      </c>
      <c r="F2" s="3"/>
      <c r="G2" s="1" t="s">
        <v>17</v>
      </c>
      <c r="H2" s="1">
        <v>295.0</v>
      </c>
    </row>
    <row r="3">
      <c r="F3" s="3"/>
    </row>
    <row r="4">
      <c r="A4" s="1" t="s">
        <v>18</v>
      </c>
      <c r="B4" s="1" t="s">
        <v>52</v>
      </c>
      <c r="C4" s="1">
        <v>88.17</v>
      </c>
      <c r="D4" s="1" t="s">
        <v>20</v>
      </c>
      <c r="F4" s="3"/>
      <c r="G4" s="1" t="s">
        <v>18</v>
      </c>
      <c r="H4" s="1" t="s">
        <v>53</v>
      </c>
      <c r="I4" s="1">
        <v>96.96</v>
      </c>
      <c r="J4" s="1" t="s">
        <v>20</v>
      </c>
    </row>
    <row r="5">
      <c r="A5" s="1" t="s">
        <v>22</v>
      </c>
      <c r="B5" s="1" t="s">
        <v>23</v>
      </c>
      <c r="C5" s="1">
        <v>1.4786765E-5</v>
      </c>
      <c r="D5" s="1" t="s">
        <v>54</v>
      </c>
      <c r="F5" s="3"/>
      <c r="G5" s="1" t="s">
        <v>22</v>
      </c>
      <c r="H5" s="6" t="s">
        <v>23</v>
      </c>
      <c r="I5" s="7">
        <v>1.4786765E-5</v>
      </c>
      <c r="J5" s="7" t="s">
        <v>54</v>
      </c>
    </row>
    <row r="6">
      <c r="A6" s="4" t="s">
        <v>25</v>
      </c>
      <c r="B6" s="1" t="s">
        <v>55</v>
      </c>
      <c r="C6" s="1" t="s">
        <v>56</v>
      </c>
      <c r="F6" s="3"/>
      <c r="G6" s="4" t="s">
        <v>25</v>
      </c>
      <c r="H6" s="1" t="s">
        <v>55</v>
      </c>
      <c r="I6" s="1" t="s">
        <v>56</v>
      </c>
      <c r="J6" s="1" t="s">
        <v>57</v>
      </c>
    </row>
    <row r="7">
      <c r="A7" s="4" t="s">
        <v>15</v>
      </c>
      <c r="B7" s="1"/>
      <c r="F7" s="3"/>
      <c r="G7" s="4" t="s">
        <v>58</v>
      </c>
    </row>
    <row r="8">
      <c r="A8" s="1" t="s">
        <v>29</v>
      </c>
      <c r="B8" s="1" t="s">
        <v>30</v>
      </c>
      <c r="C8" s="1" t="s">
        <v>31</v>
      </c>
      <c r="F8" s="3"/>
      <c r="G8" s="1" t="s">
        <v>29</v>
      </c>
      <c r="H8" s="1" t="s">
        <v>30</v>
      </c>
      <c r="I8" s="1" t="s">
        <v>31</v>
      </c>
    </row>
    <row r="9">
      <c r="A9" s="1">
        <v>0.0</v>
      </c>
      <c r="B9" s="1">
        <v>-8.0</v>
      </c>
      <c r="C9" s="1">
        <v>-4.0</v>
      </c>
      <c r="F9" s="3"/>
      <c r="G9" s="1">
        <v>0.0</v>
      </c>
      <c r="H9" s="1">
        <v>-8.0</v>
      </c>
      <c r="I9" s="1">
        <v>-5.0</v>
      </c>
    </row>
    <row r="10">
      <c r="A10" s="1">
        <v>103.0</v>
      </c>
      <c r="B10" s="1">
        <v>-7.0</v>
      </c>
      <c r="C10" s="1">
        <v>-3.0</v>
      </c>
      <c r="F10" s="3"/>
      <c r="G10" s="1">
        <v>120.0</v>
      </c>
      <c r="H10" s="1">
        <v>-8.0</v>
      </c>
      <c r="I10" s="1">
        <v>-4.0</v>
      </c>
    </row>
    <row r="11">
      <c r="A11" s="1">
        <v>180.0</v>
      </c>
      <c r="B11" s="1">
        <v>-6.0</v>
      </c>
      <c r="C11" s="1">
        <v>-2.0</v>
      </c>
      <c r="F11" s="3"/>
      <c r="G11" s="1">
        <v>220.0</v>
      </c>
      <c r="H11" s="1">
        <v>-7.0</v>
      </c>
      <c r="I11" s="1">
        <v>-4.0</v>
      </c>
    </row>
    <row r="12">
      <c r="A12" s="1">
        <v>240.0</v>
      </c>
      <c r="B12" s="1">
        <v>-5.0</v>
      </c>
      <c r="C12" s="1">
        <v>-2.0</v>
      </c>
      <c r="F12" s="3"/>
      <c r="G12" s="1">
        <v>300.0</v>
      </c>
      <c r="H12" s="1">
        <v>-7.0</v>
      </c>
      <c r="I12" s="1">
        <v>-3.0</v>
      </c>
    </row>
    <row r="13">
      <c r="A13" s="1">
        <v>360.0</v>
      </c>
      <c r="B13" s="1">
        <v>-5.0</v>
      </c>
      <c r="C13" s="1">
        <v>-1.0</v>
      </c>
      <c r="F13" s="3"/>
      <c r="G13" s="1">
        <v>420.0</v>
      </c>
      <c r="H13" s="1">
        <v>-6.0</v>
      </c>
      <c r="I13" s="1">
        <v>-3.0</v>
      </c>
    </row>
    <row r="14">
      <c r="A14" s="1">
        <v>480.0</v>
      </c>
      <c r="B14" s="1">
        <v>-3.0</v>
      </c>
      <c r="C14" s="1">
        <v>-1.0</v>
      </c>
      <c r="F14" s="3"/>
      <c r="G14" s="1">
        <v>510.0</v>
      </c>
      <c r="H14" s="1">
        <v>-6.0</v>
      </c>
      <c r="I14" s="1">
        <v>-2.0</v>
      </c>
    </row>
    <row r="15">
      <c r="A15" s="1">
        <v>600.0</v>
      </c>
      <c r="B15" s="1">
        <v>-2.0</v>
      </c>
      <c r="C15" s="1">
        <v>0.0</v>
      </c>
      <c r="F15" s="3"/>
      <c r="G15" s="1">
        <v>630.0</v>
      </c>
      <c r="H15" s="1">
        <v>-5.0</v>
      </c>
      <c r="I15" s="1">
        <v>-1.0</v>
      </c>
    </row>
    <row r="16">
      <c r="A16" s="1">
        <v>695.0</v>
      </c>
      <c r="B16" s="1">
        <v>-1.0</v>
      </c>
      <c r="C16" s="1">
        <v>0.0</v>
      </c>
      <c r="F16" s="3"/>
      <c r="G16" s="1">
        <v>708.0</v>
      </c>
      <c r="H16" s="1">
        <v>-2.0</v>
      </c>
      <c r="I16" s="1">
        <v>-1.0</v>
      </c>
    </row>
    <row r="17">
      <c r="A17" s="1">
        <v>780.0</v>
      </c>
      <c r="B17" s="1">
        <v>0.0</v>
      </c>
      <c r="C17" s="1">
        <v>2.0</v>
      </c>
      <c r="F17" s="3"/>
      <c r="G17" s="1">
        <v>773.0</v>
      </c>
      <c r="H17" s="1">
        <v>-1.0</v>
      </c>
      <c r="I17" s="1">
        <v>0.0</v>
      </c>
    </row>
    <row r="18">
      <c r="F18" s="3"/>
    </row>
    <row r="19">
      <c r="A19" s="1" t="s">
        <v>32</v>
      </c>
      <c r="B19" s="1" t="s">
        <v>59</v>
      </c>
      <c r="F19" s="3"/>
      <c r="G19" s="1" t="s">
        <v>60</v>
      </c>
      <c r="H19" s="1" t="s">
        <v>35</v>
      </c>
    </row>
    <row r="20">
      <c r="A20" s="1" t="s">
        <v>61</v>
      </c>
      <c r="B20" s="1" t="s">
        <v>62</v>
      </c>
      <c r="F20" s="3"/>
      <c r="G20" s="1" t="s">
        <v>38</v>
      </c>
      <c r="H20" s="1" t="s">
        <v>63</v>
      </c>
    </row>
    <row r="21">
      <c r="A21" s="1" t="s">
        <v>40</v>
      </c>
      <c r="B21" s="1" t="s">
        <v>64</v>
      </c>
      <c r="C21" s="1" t="s">
        <v>65</v>
      </c>
      <c r="F21" s="3"/>
      <c r="G21" s="1" t="s">
        <v>42</v>
      </c>
      <c r="H21" s="1" t="s">
        <v>66</v>
      </c>
      <c r="I21" s="1" t="s">
        <v>65</v>
      </c>
    </row>
    <row r="22">
      <c r="A22" s="1" t="s">
        <v>45</v>
      </c>
      <c r="B22" s="1" t="s">
        <v>67</v>
      </c>
      <c r="F22" s="3"/>
      <c r="G22" s="1" t="s">
        <v>45</v>
      </c>
      <c r="H22" s="1" t="s">
        <v>68</v>
      </c>
    </row>
    <row r="23">
      <c r="F23" s="3"/>
    </row>
    <row r="24">
      <c r="F24" s="3"/>
    </row>
    <row r="25">
      <c r="A25" s="1" t="s">
        <v>69</v>
      </c>
      <c r="F25" s="3"/>
    </row>
    <row r="26">
      <c r="A26" s="2" t="s">
        <v>49</v>
      </c>
      <c r="F26" s="3"/>
      <c r="G26" s="2" t="s">
        <v>49</v>
      </c>
    </row>
    <row r="27">
      <c r="A27" s="1" t="s">
        <v>70</v>
      </c>
      <c r="F27" s="3"/>
      <c r="G27" s="1" t="s">
        <v>71</v>
      </c>
    </row>
    <row r="28">
      <c r="A28" s="1" t="s">
        <v>72</v>
      </c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  <row r="1003">
      <c r="F1003" s="3"/>
    </row>
    <row r="1004">
      <c r="F1004" s="3"/>
    </row>
    <row r="1005">
      <c r="F1005" s="3"/>
    </row>
    <row r="1006">
      <c r="F1006" s="3"/>
    </row>
    <row r="1007">
      <c r="F1007" s="3"/>
    </row>
    <row r="1008">
      <c r="F1008" s="3"/>
    </row>
  </sheetData>
  <mergeCells count="2">
    <mergeCell ref="A1:E1"/>
    <mergeCell ref="G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3" max="3" width="17.88"/>
    <col customWidth="1" min="7" max="7" width="30.38"/>
    <col customWidth="1" min="8" max="8" width="19.13"/>
    <col customWidth="1" min="9" max="9" width="18.38"/>
  </cols>
  <sheetData>
    <row r="1">
      <c r="A1" s="2" t="s">
        <v>15</v>
      </c>
      <c r="F1" s="3"/>
      <c r="G1" s="2" t="s">
        <v>16</v>
      </c>
    </row>
    <row r="2">
      <c r="A2" s="4" t="s">
        <v>73</v>
      </c>
      <c r="B2" s="1">
        <v>90.0</v>
      </c>
      <c r="C2" s="1" t="s">
        <v>74</v>
      </c>
      <c r="F2" s="3"/>
      <c r="G2" s="4" t="s">
        <v>73</v>
      </c>
      <c r="H2" s="1">
        <v>150.0</v>
      </c>
    </row>
    <row r="3">
      <c r="F3" s="3"/>
    </row>
    <row r="4">
      <c r="A4" s="1" t="s">
        <v>18</v>
      </c>
      <c r="B4" s="1" t="s">
        <v>75</v>
      </c>
      <c r="C4" s="1">
        <v>92.13595</v>
      </c>
      <c r="D4" s="1" t="s">
        <v>20</v>
      </c>
      <c r="F4" s="3"/>
      <c r="G4" s="1" t="s">
        <v>18</v>
      </c>
      <c r="H4" s="1" t="s">
        <v>76</v>
      </c>
      <c r="I4" s="1">
        <v>87.8835</v>
      </c>
      <c r="J4" s="1" t="s">
        <v>20</v>
      </c>
    </row>
    <row r="5">
      <c r="A5" s="1" t="s">
        <v>22</v>
      </c>
      <c r="B5" s="6" t="s">
        <v>23</v>
      </c>
      <c r="C5" s="7">
        <v>1.4786765E-5</v>
      </c>
      <c r="D5" s="7" t="s">
        <v>54</v>
      </c>
      <c r="F5" s="3"/>
      <c r="G5" s="1" t="s">
        <v>22</v>
      </c>
      <c r="H5" s="6" t="s">
        <v>23</v>
      </c>
      <c r="I5" s="7">
        <v>1.4786765E-5</v>
      </c>
      <c r="J5" s="7" t="s">
        <v>54</v>
      </c>
    </row>
    <row r="6">
      <c r="A6" s="4" t="s">
        <v>25</v>
      </c>
      <c r="B6" s="1" t="s">
        <v>77</v>
      </c>
      <c r="C6" s="1" t="s">
        <v>78</v>
      </c>
      <c r="F6" s="3"/>
      <c r="G6" s="4" t="s">
        <v>25</v>
      </c>
      <c r="H6" s="1" t="s">
        <v>77</v>
      </c>
      <c r="I6" s="1" t="s">
        <v>78</v>
      </c>
    </row>
    <row r="7">
      <c r="A7" s="4" t="s">
        <v>15</v>
      </c>
      <c r="B7" s="1"/>
      <c r="F7" s="3"/>
      <c r="G7" s="4" t="s">
        <v>58</v>
      </c>
    </row>
    <row r="8">
      <c r="A8" s="1" t="s">
        <v>29</v>
      </c>
      <c r="B8" s="1" t="s">
        <v>30</v>
      </c>
      <c r="C8" s="1" t="s">
        <v>31</v>
      </c>
      <c r="F8" s="3"/>
      <c r="G8" s="1" t="s">
        <v>29</v>
      </c>
      <c r="H8" s="1" t="s">
        <v>30</v>
      </c>
      <c r="I8" s="1" t="s">
        <v>31</v>
      </c>
    </row>
    <row r="9">
      <c r="A9" s="1">
        <v>0.0</v>
      </c>
      <c r="B9" s="1">
        <v>-9.0</v>
      </c>
      <c r="C9" s="1">
        <v>-7.0</v>
      </c>
      <c r="F9" s="3"/>
      <c r="G9" s="1">
        <v>0.0</v>
      </c>
      <c r="H9" s="1">
        <v>-9.0</v>
      </c>
      <c r="I9" s="1">
        <v>-9.0</v>
      </c>
    </row>
    <row r="10">
      <c r="A10" s="1">
        <v>60.0</v>
      </c>
      <c r="B10" s="1">
        <v>-8.0</v>
      </c>
      <c r="C10" s="1">
        <v>-6.0</v>
      </c>
      <c r="F10" s="3"/>
      <c r="G10" s="1">
        <v>120.0</v>
      </c>
      <c r="H10" s="1">
        <v>-9.0</v>
      </c>
      <c r="I10" s="1">
        <v>-8.0</v>
      </c>
    </row>
    <row r="11">
      <c r="A11" s="1">
        <v>165.0</v>
      </c>
      <c r="B11" s="1">
        <v>-7.0</v>
      </c>
      <c r="C11" s="1">
        <v>-4.0</v>
      </c>
      <c r="F11" s="3"/>
      <c r="G11" s="1">
        <v>225.0</v>
      </c>
      <c r="H11" s="1">
        <v>-9.0</v>
      </c>
      <c r="I11" s="1">
        <v>-7.0</v>
      </c>
    </row>
    <row r="12">
      <c r="A12" s="1">
        <v>230.0</v>
      </c>
      <c r="B12" s="1">
        <v>-7.0</v>
      </c>
      <c r="C12" s="1">
        <v>-3.0</v>
      </c>
      <c r="F12" s="3"/>
      <c r="G12" s="1">
        <v>300.0</v>
      </c>
      <c r="H12" s="1">
        <v>-8.0</v>
      </c>
      <c r="I12" s="1">
        <v>-5.0</v>
      </c>
    </row>
    <row r="13">
      <c r="A13" s="1">
        <v>274.0</v>
      </c>
      <c r="B13" s="1">
        <v>-6.0</v>
      </c>
      <c r="C13" s="1">
        <v>-3.0</v>
      </c>
      <c r="F13" s="3"/>
      <c r="G13" s="1">
        <v>420.0</v>
      </c>
      <c r="H13" s="1">
        <v>-8.0</v>
      </c>
      <c r="I13" s="1">
        <v>-4.0</v>
      </c>
    </row>
    <row r="14">
      <c r="A14" s="1">
        <v>330.0</v>
      </c>
      <c r="B14" s="1">
        <v>-5.0</v>
      </c>
      <c r="C14" s="1">
        <v>-2.0</v>
      </c>
      <c r="F14" s="3"/>
      <c r="G14" s="1">
        <v>540.0</v>
      </c>
      <c r="H14" s="1">
        <v>-8.0</v>
      </c>
      <c r="I14" s="1">
        <v>-3.0</v>
      </c>
    </row>
    <row r="15">
      <c r="A15" s="1">
        <v>395.0</v>
      </c>
      <c r="B15" s="1">
        <v>-5.0</v>
      </c>
      <c r="C15" s="1">
        <v>-2.0</v>
      </c>
      <c r="F15" s="3"/>
      <c r="G15" s="1">
        <v>660.0</v>
      </c>
      <c r="H15" s="1">
        <v>-8.0</v>
      </c>
      <c r="I15" s="1">
        <v>-3.0</v>
      </c>
    </row>
    <row r="16">
      <c r="A16" s="1">
        <v>503.0</v>
      </c>
      <c r="B16" s="1">
        <v>-4.0</v>
      </c>
      <c r="C16" s="1">
        <v>-1.0</v>
      </c>
      <c r="F16" s="3"/>
      <c r="G16" s="8"/>
    </row>
    <row r="17">
      <c r="A17" s="8"/>
      <c r="F17" s="3"/>
    </row>
    <row r="18">
      <c r="F18" s="3"/>
    </row>
    <row r="19">
      <c r="A19" s="1" t="s">
        <v>32</v>
      </c>
      <c r="B19" s="1" t="s">
        <v>33</v>
      </c>
      <c r="F19" s="3"/>
      <c r="G19" s="1" t="s">
        <v>60</v>
      </c>
      <c r="H19" s="1">
        <v>0.21</v>
      </c>
    </row>
    <row r="20">
      <c r="A20" s="1" t="s">
        <v>61</v>
      </c>
      <c r="B20" s="1" t="s">
        <v>79</v>
      </c>
      <c r="F20" s="3"/>
      <c r="G20" s="1" t="s">
        <v>38</v>
      </c>
      <c r="H20" s="1">
        <v>0.84</v>
      </c>
    </row>
    <row r="21">
      <c r="A21" s="1" t="s">
        <v>40</v>
      </c>
      <c r="B21" s="1" t="s">
        <v>64</v>
      </c>
      <c r="C21" s="1" t="s">
        <v>65</v>
      </c>
      <c r="F21" s="3"/>
      <c r="G21" s="1" t="s">
        <v>42</v>
      </c>
      <c r="H21" s="1">
        <v>0.35</v>
      </c>
    </row>
    <row r="22">
      <c r="A22" s="1" t="s">
        <v>45</v>
      </c>
      <c r="B22" s="1" t="s">
        <v>80</v>
      </c>
      <c r="F22" s="3"/>
      <c r="G22" s="1" t="s">
        <v>45</v>
      </c>
      <c r="H22" s="9">
        <v>46152.0</v>
      </c>
      <c r="I22" s="1" t="s">
        <v>81</v>
      </c>
    </row>
    <row r="23">
      <c r="F23" s="3"/>
    </row>
    <row r="24">
      <c r="F24" s="3"/>
    </row>
    <row r="25">
      <c r="A25" s="4" t="s">
        <v>69</v>
      </c>
      <c r="F25" s="3"/>
    </row>
    <row r="26">
      <c r="A26" s="2" t="s">
        <v>49</v>
      </c>
      <c r="F26" s="3"/>
      <c r="G26" s="2" t="s">
        <v>49</v>
      </c>
    </row>
    <row r="27">
      <c r="A27" s="1" t="s">
        <v>82</v>
      </c>
      <c r="F27" s="3"/>
      <c r="G27" s="4" t="s">
        <v>71</v>
      </c>
    </row>
    <row r="28">
      <c r="A28" s="1" t="s">
        <v>83</v>
      </c>
      <c r="F28" s="3"/>
      <c r="G28" s="1" t="s">
        <v>84</v>
      </c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  <row r="1003">
      <c r="F1003" s="3"/>
    </row>
    <row r="1004">
      <c r="F1004" s="3"/>
    </row>
    <row r="1005">
      <c r="F1005" s="3"/>
    </row>
    <row r="1006">
      <c r="F1006" s="3"/>
    </row>
    <row r="1007">
      <c r="F1007" s="3"/>
    </row>
    <row r="1008">
      <c r="F1008" s="3"/>
    </row>
  </sheetData>
  <mergeCells count="2">
    <mergeCell ref="A1:E1"/>
    <mergeCell ref="G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7" max="7" width="30.38"/>
  </cols>
  <sheetData>
    <row r="1">
      <c r="A1" s="2" t="s">
        <v>15</v>
      </c>
      <c r="F1" s="3"/>
      <c r="G1" s="4"/>
      <c r="H1" s="8"/>
    </row>
    <row r="2">
      <c r="A2" s="4" t="s">
        <v>73</v>
      </c>
      <c r="B2" s="1">
        <v>293.0</v>
      </c>
      <c r="F2" s="3"/>
      <c r="G2" s="4"/>
      <c r="H2" s="8"/>
    </row>
    <row r="3">
      <c r="F3" s="3"/>
    </row>
    <row r="4">
      <c r="A4" s="1" t="s">
        <v>18</v>
      </c>
      <c r="B4" s="1" t="s">
        <v>85</v>
      </c>
      <c r="C4" s="1">
        <v>81.93012</v>
      </c>
      <c r="D4" s="1" t="s">
        <v>20</v>
      </c>
      <c r="F4" s="3"/>
    </row>
    <row r="5">
      <c r="A5" s="1" t="s">
        <v>22</v>
      </c>
      <c r="B5" s="1" t="s">
        <v>86</v>
      </c>
      <c r="C5" s="1">
        <v>1.4786765E-5</v>
      </c>
      <c r="D5" s="1" t="s">
        <v>54</v>
      </c>
      <c r="F5" s="3"/>
      <c r="G5" s="4"/>
    </row>
    <row r="6">
      <c r="A6" s="4" t="s">
        <v>25</v>
      </c>
      <c r="B6" s="1" t="s">
        <v>77</v>
      </c>
      <c r="C6" s="1" t="s">
        <v>78</v>
      </c>
      <c r="F6" s="3"/>
    </row>
    <row r="7">
      <c r="A7" s="4"/>
      <c r="B7" s="1"/>
      <c r="F7" s="3"/>
      <c r="G7" s="4"/>
    </row>
    <row r="8">
      <c r="A8" s="1" t="s">
        <v>29</v>
      </c>
      <c r="B8" s="1" t="s">
        <v>30</v>
      </c>
      <c r="C8" s="1" t="s">
        <v>31</v>
      </c>
      <c r="F8" s="3"/>
    </row>
    <row r="9">
      <c r="A9" s="1">
        <v>0.0</v>
      </c>
      <c r="B9" s="1">
        <v>-10.0</v>
      </c>
      <c r="C9" s="1">
        <v>-10.0</v>
      </c>
      <c r="F9" s="3"/>
    </row>
    <row r="10">
      <c r="A10" s="1">
        <v>90.0</v>
      </c>
      <c r="B10" s="1">
        <v>-9.0</v>
      </c>
      <c r="C10" s="1">
        <v>-8.0</v>
      </c>
      <c r="F10" s="3"/>
      <c r="G10" s="8"/>
    </row>
    <row r="11">
      <c r="A11" s="1">
        <v>180.0</v>
      </c>
      <c r="B11" s="1">
        <v>-9.0</v>
      </c>
      <c r="C11" s="1">
        <v>-6.0</v>
      </c>
      <c r="F11" s="3"/>
      <c r="G11" s="8"/>
    </row>
    <row r="12">
      <c r="A12" s="1">
        <v>280.0</v>
      </c>
      <c r="B12" s="1">
        <v>-9.0</v>
      </c>
      <c r="C12" s="1">
        <v>-4.0</v>
      </c>
      <c r="F12" s="3"/>
      <c r="G12" s="8"/>
    </row>
    <row r="13">
      <c r="A13" s="1">
        <v>360.0</v>
      </c>
      <c r="B13" s="1">
        <v>-9.0</v>
      </c>
      <c r="C13" s="1">
        <v>-3.0</v>
      </c>
      <c r="F13" s="3"/>
      <c r="G13" s="8"/>
    </row>
    <row r="14">
      <c r="A14" s="1">
        <v>455.0</v>
      </c>
      <c r="B14" s="1">
        <v>-9.0</v>
      </c>
      <c r="C14" s="1">
        <v>-2.0</v>
      </c>
      <c r="F14" s="3"/>
      <c r="G14" s="8"/>
    </row>
    <row r="15">
      <c r="A15" s="1">
        <v>583.0</v>
      </c>
      <c r="B15" s="1">
        <v>-8.0</v>
      </c>
      <c r="C15" s="1">
        <v>-1.0</v>
      </c>
      <c r="F15" s="3"/>
      <c r="G15" s="8"/>
    </row>
    <row r="16">
      <c r="A16" s="1">
        <v>690.0</v>
      </c>
      <c r="B16" s="1">
        <v>-7.0</v>
      </c>
      <c r="C16" s="1">
        <v>-1.0</v>
      </c>
      <c r="F16" s="3"/>
      <c r="G16" s="8"/>
    </row>
    <row r="17">
      <c r="A17" s="8"/>
      <c r="F17" s="3"/>
    </row>
    <row r="18">
      <c r="F18" s="3"/>
    </row>
    <row r="19">
      <c r="A19" s="1" t="s">
        <v>32</v>
      </c>
      <c r="B19" s="1" t="s">
        <v>33</v>
      </c>
      <c r="F19" s="3"/>
    </row>
    <row r="20">
      <c r="A20" s="1" t="s">
        <v>61</v>
      </c>
      <c r="B20" s="1" t="s">
        <v>87</v>
      </c>
      <c r="F20" s="3"/>
    </row>
    <row r="21">
      <c r="A21" s="1" t="s">
        <v>40</v>
      </c>
      <c r="B21" s="1" t="s">
        <v>64</v>
      </c>
      <c r="C21" s="1" t="s">
        <v>65</v>
      </c>
      <c r="F21" s="3"/>
    </row>
    <row r="22">
      <c r="A22" s="1" t="s">
        <v>45</v>
      </c>
      <c r="B22" s="1" t="s">
        <v>88</v>
      </c>
      <c r="F22" s="3"/>
      <c r="H22" s="9"/>
    </row>
    <row r="23">
      <c r="F23" s="3"/>
    </row>
    <row r="24">
      <c r="F24" s="3"/>
    </row>
    <row r="25">
      <c r="A25" s="4" t="s">
        <v>69</v>
      </c>
      <c r="F25" s="3"/>
    </row>
    <row r="26">
      <c r="F26" s="3"/>
    </row>
    <row r="27">
      <c r="F27" s="3"/>
      <c r="G27" s="4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  <row r="1003">
      <c r="F1003" s="3"/>
    </row>
    <row r="1004">
      <c r="F1004" s="3"/>
    </row>
    <row r="1005">
      <c r="F1005" s="3"/>
    </row>
    <row r="1006">
      <c r="F1006" s="3"/>
    </row>
    <row r="1007">
      <c r="F1007" s="3"/>
    </row>
    <row r="1008">
      <c r="F1008" s="3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3" max="3" width="17.88"/>
    <col customWidth="1" min="7" max="7" width="30.38"/>
  </cols>
  <sheetData>
    <row r="1">
      <c r="A1" s="2" t="s">
        <v>15</v>
      </c>
      <c r="F1" s="3"/>
      <c r="G1" s="4"/>
      <c r="H1" s="8"/>
    </row>
    <row r="2">
      <c r="A2" s="4" t="s">
        <v>73</v>
      </c>
      <c r="B2" s="1">
        <v>275.0</v>
      </c>
      <c r="F2" s="3"/>
      <c r="G2" s="4"/>
      <c r="H2" s="8"/>
    </row>
    <row r="3">
      <c r="F3" s="3"/>
    </row>
    <row r="4">
      <c r="A4" s="1" t="s">
        <v>18</v>
      </c>
      <c r="B4" s="1" t="s">
        <v>76</v>
      </c>
      <c r="C4" s="1">
        <v>87.8835</v>
      </c>
      <c r="D4" s="1" t="s">
        <v>20</v>
      </c>
      <c r="F4" s="3"/>
    </row>
    <row r="5">
      <c r="A5" s="1" t="s">
        <v>22</v>
      </c>
      <c r="B5" s="1" t="s">
        <v>86</v>
      </c>
      <c r="C5" s="1">
        <v>1.4786765E-5</v>
      </c>
      <c r="D5" s="1" t="s">
        <v>54</v>
      </c>
      <c r="F5" s="3"/>
    </row>
    <row r="6">
      <c r="A6" s="4" t="s">
        <v>25</v>
      </c>
      <c r="B6" s="1" t="s">
        <v>77</v>
      </c>
      <c r="C6" s="1" t="s">
        <v>78</v>
      </c>
      <c r="F6" s="3"/>
      <c r="G6" s="4"/>
    </row>
    <row r="7">
      <c r="A7" s="4"/>
      <c r="B7" s="1"/>
      <c r="F7" s="3"/>
      <c r="G7" s="4"/>
    </row>
    <row r="8">
      <c r="A8" s="1" t="s">
        <v>29</v>
      </c>
      <c r="B8" s="1" t="s">
        <v>30</v>
      </c>
      <c r="C8" s="1" t="s">
        <v>31</v>
      </c>
      <c r="F8" s="3"/>
    </row>
    <row r="9">
      <c r="A9" s="1">
        <v>0.0</v>
      </c>
      <c r="B9" s="1">
        <v>-8.0</v>
      </c>
      <c r="C9" s="1">
        <v>-8.0</v>
      </c>
      <c r="F9" s="3"/>
    </row>
    <row r="10">
      <c r="A10" s="1">
        <v>60.0</v>
      </c>
      <c r="B10" s="1">
        <v>-8.0</v>
      </c>
      <c r="C10" s="1">
        <v>-7.0</v>
      </c>
      <c r="F10" s="3"/>
      <c r="G10" s="8"/>
    </row>
    <row r="11">
      <c r="A11" s="1">
        <v>180.0</v>
      </c>
      <c r="B11" s="1">
        <v>-8.0</v>
      </c>
      <c r="C11" s="1">
        <v>-5.0</v>
      </c>
      <c r="F11" s="3"/>
      <c r="G11" s="8"/>
    </row>
    <row r="12">
      <c r="A12" s="1">
        <v>290.0</v>
      </c>
      <c r="B12" s="1">
        <v>-7.0</v>
      </c>
      <c r="C12" s="1">
        <v>-3.0</v>
      </c>
      <c r="F12" s="3"/>
      <c r="G12" s="8"/>
    </row>
    <row r="13">
      <c r="A13" s="1">
        <v>410.0</v>
      </c>
      <c r="B13" s="1">
        <v>-7.0</v>
      </c>
      <c r="C13" s="1">
        <v>-1.0</v>
      </c>
      <c r="F13" s="3"/>
      <c r="G13" s="8"/>
    </row>
    <row r="14">
      <c r="A14" s="1">
        <v>540.0</v>
      </c>
      <c r="B14" s="1">
        <v>-7.0</v>
      </c>
      <c r="C14" s="1">
        <v>0.0</v>
      </c>
      <c r="F14" s="3"/>
      <c r="G14" s="8"/>
    </row>
    <row r="15">
      <c r="A15" s="1">
        <v>690.0</v>
      </c>
      <c r="B15" s="1">
        <v>-7.0</v>
      </c>
      <c r="C15" s="1">
        <v>0.0</v>
      </c>
      <c r="F15" s="3"/>
      <c r="G15" s="8"/>
    </row>
    <row r="16">
      <c r="A16" s="8"/>
      <c r="F16" s="3"/>
      <c r="G16" s="8"/>
    </row>
    <row r="17">
      <c r="A17" s="8"/>
      <c r="F17" s="3"/>
    </row>
    <row r="18">
      <c r="F18" s="3"/>
    </row>
    <row r="19">
      <c r="A19" s="1" t="s">
        <v>32</v>
      </c>
      <c r="B19" s="1" t="s">
        <v>59</v>
      </c>
      <c r="F19" s="3"/>
    </row>
    <row r="20">
      <c r="A20" s="1" t="s">
        <v>61</v>
      </c>
      <c r="B20" s="1">
        <v>1.16</v>
      </c>
      <c r="F20" s="3"/>
    </row>
    <row r="21">
      <c r="A21" s="1" t="s">
        <v>40</v>
      </c>
      <c r="B21" s="1">
        <v>0.84</v>
      </c>
      <c r="C21" s="1" t="s">
        <v>65</v>
      </c>
      <c r="F21" s="3"/>
    </row>
    <row r="22">
      <c r="A22" s="1" t="s">
        <v>45</v>
      </c>
      <c r="B22" s="1" t="s">
        <v>89</v>
      </c>
      <c r="F22" s="3"/>
      <c r="H22" s="9"/>
    </row>
    <row r="23">
      <c r="F23" s="3"/>
    </row>
    <row r="24">
      <c r="F24" s="3"/>
    </row>
    <row r="25">
      <c r="A25" s="4" t="s">
        <v>69</v>
      </c>
      <c r="F25" s="3"/>
    </row>
    <row r="26">
      <c r="F26" s="3"/>
    </row>
    <row r="27">
      <c r="F27" s="3"/>
      <c r="G27" s="4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  <row r="1003">
      <c r="F1003" s="3"/>
    </row>
    <row r="1004">
      <c r="F1004" s="3"/>
    </row>
    <row r="1005">
      <c r="F1005" s="3"/>
    </row>
    <row r="1006">
      <c r="F1006" s="3"/>
    </row>
    <row r="1007">
      <c r="F1007" s="3"/>
    </row>
    <row r="1008">
      <c r="F1008" s="3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</cols>
  <sheetData>
    <row r="1">
      <c r="A1" s="3"/>
      <c r="B1" s="4"/>
      <c r="C1" s="8"/>
    </row>
    <row r="2">
      <c r="A2" s="3"/>
      <c r="B2" s="4"/>
      <c r="C2" s="8"/>
    </row>
    <row r="3">
      <c r="A3" s="3"/>
      <c r="C3" s="1" t="s">
        <v>90</v>
      </c>
    </row>
    <row r="4">
      <c r="A4" s="3"/>
      <c r="C4" s="1" t="s">
        <v>91</v>
      </c>
    </row>
    <row r="5">
      <c r="A5" s="3"/>
    </row>
    <row r="6">
      <c r="A6" s="3"/>
      <c r="B6" s="4"/>
    </row>
    <row r="7">
      <c r="A7" s="3"/>
      <c r="B7" s="4"/>
    </row>
    <row r="8">
      <c r="A8" s="3"/>
    </row>
    <row r="9">
      <c r="A9" s="3"/>
    </row>
    <row r="10">
      <c r="A10" s="3"/>
      <c r="B10" s="8"/>
    </row>
    <row r="11">
      <c r="A11" s="3"/>
      <c r="B11" s="8"/>
    </row>
    <row r="12">
      <c r="A12" s="3"/>
      <c r="B12" s="8"/>
    </row>
    <row r="13">
      <c r="A13" s="3"/>
      <c r="B13" s="8"/>
    </row>
    <row r="14">
      <c r="A14" s="3"/>
      <c r="B14" s="8"/>
    </row>
    <row r="15">
      <c r="A15" s="3"/>
      <c r="B15" s="8"/>
    </row>
    <row r="16">
      <c r="A16" s="3"/>
      <c r="B16" s="8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  <c r="C22" s="9"/>
    </row>
    <row r="23">
      <c r="A23" s="3"/>
    </row>
    <row r="24">
      <c r="A24" s="3"/>
    </row>
    <row r="25">
      <c r="A25" s="3"/>
    </row>
    <row r="26">
      <c r="A26" s="3"/>
    </row>
    <row r="27">
      <c r="A27" s="3"/>
      <c r="B27" s="4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4.38"/>
  </cols>
  <sheetData>
    <row r="2">
      <c r="A2" s="1" t="s">
        <v>92</v>
      </c>
    </row>
    <row r="4">
      <c r="A4" s="1" t="s">
        <v>29</v>
      </c>
      <c r="B4" s="1" t="s">
        <v>93</v>
      </c>
      <c r="C4" s="1" t="s">
        <v>94</v>
      </c>
      <c r="D4" s="1" t="s">
        <v>95</v>
      </c>
      <c r="E4" s="1" t="s">
        <v>96</v>
      </c>
    </row>
    <row r="5">
      <c r="A5" s="1">
        <v>0.0</v>
      </c>
      <c r="B5" s="1">
        <v>0.7</v>
      </c>
      <c r="C5" s="1">
        <v>0.21</v>
      </c>
      <c r="D5" s="9"/>
    </row>
    <row r="6">
      <c r="A6" s="1">
        <v>145.0</v>
      </c>
      <c r="B6" s="1">
        <v>0.88</v>
      </c>
      <c r="C6" s="1">
        <v>0.56</v>
      </c>
      <c r="D6" s="9">
        <v>46032.0</v>
      </c>
      <c r="E6" s="9">
        <v>46091.0</v>
      </c>
    </row>
    <row r="7">
      <c r="A7" s="10">
        <f>180+A6</f>
        <v>325</v>
      </c>
      <c r="B7" s="1">
        <v>1.05</v>
      </c>
      <c r="C7" s="1">
        <v>0.63</v>
      </c>
      <c r="D7" s="9">
        <v>46122.0</v>
      </c>
      <c r="E7" s="9">
        <v>46275.0</v>
      </c>
    </row>
  </sheetData>
  <drawing r:id="rId1"/>
</worksheet>
</file>