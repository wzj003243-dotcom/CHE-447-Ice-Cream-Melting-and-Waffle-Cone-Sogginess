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_Experiment" sheetId="1" r:id="rId4"/>
    <sheet state="visible" name="Calibration_Anchor" sheetId="2" r:id="rId5"/>
    <sheet state="visible" name="DOE_27_FixedCone" sheetId="3" r:id="rId6"/>
    <sheet state="visible" name="Sklearn_Ready" sheetId="4" r:id="rId7"/>
    <sheet state="visible" name="Source_Register" sheetId="5" r:id="rId8"/>
  </sheets>
  <definedNames/>
  <calcPr/>
  <extLst>
    <ext uri="GoogleSheetsCustomDataVersion2">
      <go:sheetsCustomData xmlns:go="http://customooxmlschemas.google.com/" r:id="rId9" roundtripDataChecksum="cocwunJ3x0q0gu1lerUjTRGYGKextz0m/5hJ+j0SVp0="/>
    </ext>
  </extLst>
</workbook>
</file>

<file path=xl/sharedStrings.xml><?xml version="1.0" encoding="utf-8"?>
<sst xmlns="http://schemas.openxmlformats.org/spreadsheetml/2006/main" count="268" uniqueCount="141">
  <si>
    <t>Experimental ice anchors</t>
  </si>
  <si>
    <t>ice_anchor_id</t>
  </si>
  <si>
    <t>ice_label</t>
  </si>
  <si>
    <t>cone_type</t>
  </si>
  <si>
    <t>initial_mass_g</t>
  </si>
  <si>
    <t>nominal_volume_m3</t>
  </si>
  <si>
    <t>rho_ice_anchor_kg_m3</t>
  </si>
  <si>
    <t>first_visible_drip_s</t>
  </si>
  <si>
    <t>dry_cone_mass_oz</t>
  </si>
  <si>
    <t>dry_cone_mass_g</t>
  </si>
  <si>
    <t>end_diffused_cone_mass_oz</t>
  </si>
  <si>
    <t>sogginess_end_note</t>
  </si>
  <si>
    <t>ICE_A</t>
  </si>
  <si>
    <t>Tillamook Vanilla Bean</t>
  </si>
  <si>
    <t>Waffle cone</t>
  </si>
  <si>
    <t>Slight, 3/10</t>
  </si>
  <si>
    <t>ICE_B</t>
  </si>
  <si>
    <t>Breyers Vanilla</t>
  </si>
  <si>
    <t>Not very soggy, 2/10</t>
  </si>
  <si>
    <t>ICE_C</t>
  </si>
  <si>
    <t>Breyers Vanilla Lactose Free</t>
  </si>
  <si>
    <t>1/10 sogginess</t>
  </si>
  <si>
    <t>ICE_D</t>
  </si>
  <si>
    <t>Tillamook Mint Chocolate Chip</t>
  </si>
  <si>
    <t>1/10, not too soggy</t>
  </si>
  <si>
    <t>ICE_E</t>
  </si>
  <si>
    <t>Tillamook Rocky Road</t>
  </si>
  <si>
    <t>1/10, still very crisp</t>
  </si>
  <si>
    <t>Validated cone anchor</t>
  </si>
  <si>
    <t>Item</t>
  </si>
  <si>
    <t>Value</t>
  </si>
  <si>
    <t>Unit</t>
  </si>
  <si>
    <t>Status</t>
  </si>
  <si>
    <t>Meaning</t>
  </si>
  <si>
    <t>Note</t>
  </si>
  <si>
    <t>cone_id</t>
  </si>
  <si>
    <t>WAFFLE_VALIDATED</t>
  </si>
  <si>
    <t>-</t>
  </si>
  <si>
    <t>fixed</t>
  </si>
  <si>
    <t>Single cone system used across all 27 DOE rows</t>
  </si>
  <si>
    <t>Current validated cone</t>
  </si>
  <si>
    <t>Tinf_val</t>
  </si>
  <si>
    <t>K</t>
  </si>
  <si>
    <t>Validation ambient temperature</t>
  </si>
  <si>
    <t>21 C room</t>
  </si>
  <si>
    <t>h_conv_val</t>
  </si>
  <si>
    <t>W/(m^2*K)</t>
  </si>
  <si>
    <t>Validation convection</t>
  </si>
  <si>
    <t>No noticeable airflow</t>
  </si>
  <si>
    <t>t_cone</t>
  </si>
  <si>
    <t>mm</t>
  </si>
  <si>
    <t>Cone thickness</t>
  </si>
  <si>
    <t>Measured</t>
  </si>
  <si>
    <t>H_cone</t>
  </si>
  <si>
    <t>Cone height</t>
  </si>
  <si>
    <t>V_cone</t>
  </si>
  <si>
    <t>m^3</t>
  </si>
  <si>
    <t>Cone wall volume</t>
  </si>
  <si>
    <t>Current COMSOL file</t>
  </si>
  <si>
    <t>rho_cone_app</t>
  </si>
  <si>
    <t>kg/m^3</t>
  </si>
  <si>
    <t>Apparent cone density</t>
  </si>
  <si>
    <t>Matched to current geometry + dry cone mass</t>
  </si>
  <si>
    <t>k_cone</t>
  </si>
  <si>
    <t>W/(m*K)</t>
  </si>
  <si>
    <t>Cone thermal conductivity</t>
  </si>
  <si>
    <t>Cp_cone</t>
  </si>
  <si>
    <t>J/(kg*K)</t>
  </si>
  <si>
    <t>Cone heat capacity</t>
  </si>
  <si>
    <t>eps_cone</t>
  </si>
  <si>
    <t>Cone pore fraction</t>
  </si>
  <si>
    <t>rho_liq</t>
  </si>
  <si>
    <t>Liquid density</t>
  </si>
  <si>
    <t>Deff_cal</t>
  </si>
  <si>
    <t>m^2/s</t>
  </si>
  <si>
    <t>Calibrated uptake coefficient</t>
  </si>
  <si>
    <t>Standalone uptake fit</t>
  </si>
  <si>
    <t>M_abs_notice</t>
  </si>
  <si>
    <t>g</t>
  </si>
  <si>
    <t>Noticeable sogginess threshold</t>
  </si>
  <si>
    <t>Validation anchor</t>
  </si>
  <si>
    <t>M_abs_bad</t>
  </si>
  <si>
    <t>Bad sogginess threshold</t>
  </si>
  <si>
    <t>27-case DOE:</t>
  </si>
  <si>
    <t>case_id</t>
  </si>
  <si>
    <t>T_level</t>
  </si>
  <si>
    <t>Tinf_K</t>
  </si>
  <si>
    <t>h_level</t>
  </si>
  <si>
    <t>h_conv_W_m2K</t>
  </si>
  <si>
    <t>rho_ice_kg_m3</t>
  </si>
  <si>
    <t>Cp_ice_J_kgK</t>
  </si>
  <si>
    <t>dH_melt_eff_J_kg</t>
  </si>
  <si>
    <t>first_visible_drip_exp_s</t>
  </si>
  <si>
    <t>t_cone_mm</t>
  </si>
  <si>
    <t>rho_cone_app_kg_m3</t>
  </si>
  <si>
    <t>k_cone_W_mK</t>
  </si>
  <si>
    <t>Cp_cone_J_kgK</t>
  </si>
  <si>
    <t>Deff_cal_m2_s</t>
  </si>
  <si>
    <t>V_ice_m3</t>
  </si>
  <si>
    <t>V_cone_m3</t>
  </si>
  <si>
    <t>m_ice_kg</t>
  </si>
  <si>
    <t>m_cone_dry_g</t>
  </si>
  <si>
    <t>Qreq_melt_J</t>
  </si>
  <si>
    <t>M_abs_notice_g</t>
  </si>
  <si>
    <t>M_abs_bad_g</t>
  </si>
  <si>
    <t>onset_t1_s</t>
  </si>
  <si>
    <t>onset_E1_J</t>
  </si>
  <si>
    <t>onset_t2_s</t>
  </si>
  <si>
    <t>onset_E2_J</t>
  </si>
  <si>
    <t>t_melt_onset_s</t>
  </si>
  <si>
    <t>notice_melt_t1_s</t>
  </si>
  <si>
    <t>notice_melt_E1_J</t>
  </si>
  <si>
    <t>notice_melt_t2_s</t>
  </si>
  <si>
    <t>notice_melt_E2_J</t>
  </si>
  <si>
    <t>t_noticeable_melt_s</t>
  </si>
  <si>
    <t>notice_soggy_t1_s</t>
  </si>
  <si>
    <t>notice_soggy_Mabs1_g</t>
  </si>
  <si>
    <t>notice_soggy_t2_s</t>
  </si>
  <si>
    <t>notice_soggy_Mabs2_g</t>
  </si>
  <si>
    <t>t_noticeable_soggy_s</t>
  </si>
  <si>
    <t>bad_soggy_t1_s</t>
  </si>
  <si>
    <t>bad_soggy_Mabs1_g</t>
  </si>
  <si>
    <t>bad_soggy_t2_s</t>
  </si>
  <si>
    <t>bad_soggy_Mabs2_g</t>
  </si>
  <si>
    <t>t_unacceptably_soggy_s</t>
  </si>
  <si>
    <t>M_melt_1800_g</t>
  </si>
  <si>
    <t>M_abs_1800_g</t>
  </si>
  <si>
    <t>t_finish_s</t>
  </si>
  <si>
    <t>Sklearn-ready table</t>
  </si>
  <si>
    <t>Source register</t>
  </si>
  <si>
    <t>Source</t>
  </si>
  <si>
    <t>Use</t>
  </si>
  <si>
    <t>Path / URL</t>
  </si>
  <si>
    <t>CHE447ConeMeltingData (1).xlsx</t>
  </si>
  <si>
    <t>Experimental ice anchors and cone soaking masses</t>
  </si>
  <si>
    <t>/mnt/data/CHE447ConeMeltingData (1).xlsx</t>
  </si>
  <si>
    <t>Used for ice rows and fixed cone thresholds.</t>
  </si>
  <si>
    <t>Current coupled COMSOL file</t>
  </si>
  <si>
    <t>Validated cone geometry and calibrated Deff</t>
  </si>
  <si>
    <t>current whole-cone model</t>
  </si>
  <si>
    <t>Used for V_ice, V_cone, rho_cone_app, eps_cone, and Deff_cal.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</si>
</sst>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E+00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0" fillId="0" fontId="4" numFmtId="11" xfId="0" applyFont="1" applyNumberFormat="1"/>
    <xf borderId="4" fillId="2" fontId="1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4" fillId="5" fontId="1" numFmtId="11" xfId="0" applyAlignment="1" applyBorder="1" applyFont="1" applyNumberFormat="1">
      <alignment horizontal="center" vertical="center"/>
    </xf>
    <xf borderId="4" fillId="6" fontId="3" numFmtId="2" xfId="0" applyAlignment="1" applyBorder="1" applyFill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5" numFmtId="2" xfId="0" applyAlignment="1" applyBorder="1" applyFont="1" applyNumberFormat="1">
      <alignment horizontal="center" vertical="center"/>
    </xf>
    <xf borderId="4" fillId="0" fontId="3" numFmtId="11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2" xfId="0" applyAlignment="1" applyBorder="1" applyFont="1" applyNumberFormat="1">
      <alignment horizontal="center" readingOrder="0" vertical="center"/>
    </xf>
    <xf borderId="4" fillId="0" fontId="3" numFmtId="2" xfId="0" applyAlignment="1" applyBorder="1" applyFont="1" applyNumberFormat="1">
      <alignment horizontal="center"/>
    </xf>
    <xf borderId="1" fillId="7" fontId="6" numFmtId="0" xfId="0" applyAlignment="1" applyBorder="1" applyFill="1" applyFont="1">
      <alignment horizontal="left" vertical="center"/>
    </xf>
    <xf borderId="4" fillId="0" fontId="3" numFmtId="1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14.0"/>
    <col customWidth="1" min="5" max="5" width="16.0"/>
    <col customWidth="1" min="6" max="6" width="18.0"/>
    <col customWidth="1" min="7" max="9" width="16.0"/>
    <col customWidth="1" min="10" max="10" width="22.0"/>
    <col customWidth="1" min="11" max="11" width="24.0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>
      <c r="A4" s="5" t="s">
        <v>12</v>
      </c>
      <c r="B4" s="5" t="s">
        <v>13</v>
      </c>
      <c r="C4" s="5" t="s">
        <v>14</v>
      </c>
      <c r="D4" s="5">
        <v>82.78</v>
      </c>
      <c r="E4" s="5">
        <v>1.1829411825E-4</v>
      </c>
      <c r="F4" s="5">
        <v>699.78</v>
      </c>
      <c r="G4" s="5">
        <v>135.0</v>
      </c>
      <c r="H4" s="5">
        <v>0.7</v>
      </c>
      <c r="I4" s="5">
        <v>19.84</v>
      </c>
      <c r="J4" s="5">
        <v>0.88</v>
      </c>
      <c r="K4" s="5" t="s">
        <v>15</v>
      </c>
    </row>
    <row r="5">
      <c r="A5" s="5" t="s">
        <v>16</v>
      </c>
      <c r="B5" s="5" t="s">
        <v>17</v>
      </c>
      <c r="C5" s="5" t="s">
        <v>14</v>
      </c>
      <c r="D5" s="5">
        <v>88.17</v>
      </c>
      <c r="E5" s="5">
        <v>1.1829411825E-4</v>
      </c>
      <c r="F5" s="5">
        <v>745.35</v>
      </c>
      <c r="G5" s="5">
        <v>360.0</v>
      </c>
      <c r="H5" s="5">
        <v>0.74</v>
      </c>
      <c r="I5" s="5">
        <v>20.98</v>
      </c>
      <c r="J5" s="5">
        <v>0.81</v>
      </c>
      <c r="K5" s="5" t="s">
        <v>18</v>
      </c>
    </row>
    <row r="6">
      <c r="A6" s="5" t="s">
        <v>19</v>
      </c>
      <c r="B6" s="5" t="s">
        <v>20</v>
      </c>
      <c r="C6" s="5" t="s">
        <v>14</v>
      </c>
      <c r="D6" s="5">
        <v>92.13595</v>
      </c>
      <c r="E6" s="5">
        <v>1.1829411825E-4</v>
      </c>
      <c r="F6" s="5">
        <v>778.87</v>
      </c>
      <c r="G6" s="5">
        <v>90.0</v>
      </c>
      <c r="H6" s="5">
        <v>0.7</v>
      </c>
      <c r="I6" s="5">
        <v>19.84</v>
      </c>
      <c r="J6" s="5">
        <v>0.81</v>
      </c>
      <c r="K6" s="5" t="s">
        <v>21</v>
      </c>
    </row>
    <row r="7">
      <c r="A7" s="5" t="s">
        <v>22</v>
      </c>
      <c r="B7" s="5" t="s">
        <v>23</v>
      </c>
      <c r="C7" s="5" t="s">
        <v>14</v>
      </c>
      <c r="D7" s="5">
        <v>81.93012</v>
      </c>
      <c r="E7" s="5">
        <v>1.1829411825E-4</v>
      </c>
      <c r="F7" s="5">
        <v>692.6</v>
      </c>
      <c r="G7" s="5">
        <v>293.0</v>
      </c>
      <c r="H7" s="5">
        <v>0.7</v>
      </c>
      <c r="I7" s="5">
        <v>19.84</v>
      </c>
      <c r="J7" s="5">
        <v>0.81</v>
      </c>
      <c r="K7" s="5" t="s">
        <v>24</v>
      </c>
    </row>
    <row r="8">
      <c r="A8" s="5" t="s">
        <v>25</v>
      </c>
      <c r="B8" s="5" t="s">
        <v>26</v>
      </c>
      <c r="C8" s="5" t="s">
        <v>14</v>
      </c>
      <c r="D8" s="5">
        <v>87.8835</v>
      </c>
      <c r="E8" s="5">
        <v>1.1829411825E-4</v>
      </c>
      <c r="F8" s="5">
        <v>742.94</v>
      </c>
      <c r="G8" s="5">
        <v>275.0</v>
      </c>
      <c r="H8" s="5">
        <v>0.74</v>
      </c>
      <c r="I8" s="5">
        <v>20.98</v>
      </c>
      <c r="J8" s="5">
        <v>0.84</v>
      </c>
      <c r="K8" s="5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4.0"/>
    <col customWidth="1" min="4" max="4" width="12.0"/>
    <col customWidth="1" min="5" max="5" width="41.29"/>
    <col customWidth="1" min="6" max="6" width="40.57"/>
    <col customWidth="1" min="7" max="26" width="8.71"/>
  </cols>
  <sheetData>
    <row r="1">
      <c r="A1" s="1" t="s">
        <v>28</v>
      </c>
      <c r="B1" s="2"/>
      <c r="C1" s="2"/>
      <c r="D1" s="2"/>
      <c r="E1" s="2"/>
      <c r="F1" s="3"/>
    </row>
    <row r="3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</row>
    <row r="4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</row>
    <row r="5">
      <c r="A5" s="5" t="s">
        <v>41</v>
      </c>
      <c r="B5" s="5">
        <v>294.15</v>
      </c>
      <c r="C5" s="5" t="s">
        <v>42</v>
      </c>
      <c r="D5" s="5" t="s">
        <v>38</v>
      </c>
      <c r="E5" s="5" t="s">
        <v>43</v>
      </c>
      <c r="F5" s="5" t="s">
        <v>44</v>
      </c>
    </row>
    <row r="6">
      <c r="A6" s="5" t="s">
        <v>45</v>
      </c>
      <c r="B6" s="5">
        <v>5.0</v>
      </c>
      <c r="C6" s="5" t="s">
        <v>46</v>
      </c>
      <c r="D6" s="5" t="s">
        <v>38</v>
      </c>
      <c r="E6" s="5" t="s">
        <v>47</v>
      </c>
      <c r="F6" s="5" t="s">
        <v>48</v>
      </c>
    </row>
    <row r="7">
      <c r="A7" s="5" t="s">
        <v>49</v>
      </c>
      <c r="B7" s="5">
        <v>1.5</v>
      </c>
      <c r="C7" s="5" t="s">
        <v>50</v>
      </c>
      <c r="D7" s="5" t="s">
        <v>38</v>
      </c>
      <c r="E7" s="5" t="s">
        <v>51</v>
      </c>
      <c r="F7" s="5" t="s">
        <v>52</v>
      </c>
    </row>
    <row r="8">
      <c r="A8" s="5" t="s">
        <v>53</v>
      </c>
      <c r="B8" s="5">
        <v>140.0</v>
      </c>
      <c r="C8" s="5" t="s">
        <v>50</v>
      </c>
      <c r="D8" s="5" t="s">
        <v>38</v>
      </c>
      <c r="E8" s="5" t="s">
        <v>54</v>
      </c>
      <c r="F8" s="5" t="s">
        <v>52</v>
      </c>
    </row>
    <row r="9">
      <c r="A9" s="5" t="s">
        <v>55</v>
      </c>
      <c r="B9" s="5">
        <v>1.7896E-5</v>
      </c>
      <c r="C9" s="5" t="s">
        <v>56</v>
      </c>
      <c r="D9" s="5" t="s">
        <v>38</v>
      </c>
      <c r="E9" s="5" t="s">
        <v>57</v>
      </c>
      <c r="F9" s="5" t="s">
        <v>58</v>
      </c>
    </row>
    <row r="10">
      <c r="A10" s="5" t="s">
        <v>59</v>
      </c>
      <c r="B10" s="5">
        <v>1134.0</v>
      </c>
      <c r="C10" s="5" t="s">
        <v>60</v>
      </c>
      <c r="D10" s="5" t="s">
        <v>38</v>
      </c>
      <c r="E10" s="5" t="s">
        <v>61</v>
      </c>
      <c r="F10" s="5" t="s">
        <v>62</v>
      </c>
    </row>
    <row r="11">
      <c r="A11" s="5" t="s">
        <v>63</v>
      </c>
      <c r="B11" s="5">
        <v>0.12</v>
      </c>
      <c r="C11" s="5" t="s">
        <v>64</v>
      </c>
      <c r="D11" s="5" t="s">
        <v>38</v>
      </c>
      <c r="E11" s="5" t="s">
        <v>65</v>
      </c>
      <c r="F11" s="5" t="s">
        <v>58</v>
      </c>
    </row>
    <row r="12">
      <c r="A12" s="5" t="s">
        <v>66</v>
      </c>
      <c r="B12" s="5">
        <v>1600.0</v>
      </c>
      <c r="C12" s="5" t="s">
        <v>67</v>
      </c>
      <c r="D12" s="5" t="s">
        <v>38</v>
      </c>
      <c r="E12" s="5" t="s">
        <v>68</v>
      </c>
      <c r="F12" s="5" t="s">
        <v>58</v>
      </c>
    </row>
    <row r="13">
      <c r="A13" s="5" t="s">
        <v>69</v>
      </c>
      <c r="B13" s="5">
        <v>0.85</v>
      </c>
      <c r="C13" s="5" t="s">
        <v>37</v>
      </c>
      <c r="D13" s="5" t="s">
        <v>38</v>
      </c>
      <c r="E13" s="5" t="s">
        <v>70</v>
      </c>
      <c r="F13" s="5" t="s">
        <v>58</v>
      </c>
    </row>
    <row r="14">
      <c r="A14" s="5" t="s">
        <v>71</v>
      </c>
      <c r="B14" s="5">
        <v>1000.0</v>
      </c>
      <c r="C14" s="5" t="s">
        <v>60</v>
      </c>
      <c r="D14" s="5" t="s">
        <v>38</v>
      </c>
      <c r="E14" s="5" t="s">
        <v>72</v>
      </c>
      <c r="F14" s="5" t="s">
        <v>58</v>
      </c>
    </row>
    <row r="15">
      <c r="A15" s="5" t="s">
        <v>73</v>
      </c>
      <c r="B15" s="5">
        <v>2.0E-9</v>
      </c>
      <c r="C15" s="5" t="s">
        <v>74</v>
      </c>
      <c r="D15" s="5" t="s">
        <v>38</v>
      </c>
      <c r="E15" s="5" t="s">
        <v>75</v>
      </c>
      <c r="F15" s="5" t="s">
        <v>76</v>
      </c>
    </row>
    <row r="16">
      <c r="A16" s="5" t="s">
        <v>77</v>
      </c>
      <c r="B16" s="5">
        <v>5.1</v>
      </c>
      <c r="C16" s="5" t="s">
        <v>78</v>
      </c>
      <c r="D16" s="5" t="s">
        <v>38</v>
      </c>
      <c r="E16" s="5" t="s">
        <v>79</v>
      </c>
      <c r="F16" s="5" t="s">
        <v>80</v>
      </c>
    </row>
    <row r="17">
      <c r="A17" s="5" t="s">
        <v>81</v>
      </c>
      <c r="B17" s="5">
        <v>9.92</v>
      </c>
      <c r="C17" s="5" t="s">
        <v>78</v>
      </c>
      <c r="D17" s="5" t="s">
        <v>38</v>
      </c>
      <c r="E17" s="5" t="s">
        <v>82</v>
      </c>
      <c r="F17" s="5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8.0"/>
    <col customWidth="1" min="3" max="3" width="10.0"/>
    <col customWidth="1" min="4" max="4" width="8.0"/>
    <col customWidth="1" min="5" max="5" width="15.29"/>
    <col customWidth="1" min="6" max="6" width="12.0"/>
    <col customWidth="1" min="7" max="7" width="24.0"/>
    <col customWidth="1" min="8" max="8" width="14.43"/>
    <col customWidth="1" min="9" max="9" width="12.0"/>
    <col customWidth="1" min="10" max="10" width="16.71"/>
    <col customWidth="1" min="11" max="11" width="21.71"/>
    <col customWidth="1" min="12" max="12" width="18.0"/>
    <col customWidth="1" min="13" max="13" width="11.57"/>
    <col customWidth="1" min="14" max="14" width="20.57"/>
    <col customWidth="1" min="15" max="15" width="14.14"/>
    <col customWidth="1" min="16" max="16" width="14.57"/>
    <col customWidth="1" min="17" max="17" width="10.0"/>
    <col customWidth="1" min="18" max="18" width="13.86"/>
    <col customWidth="1" min="19" max="20" width="12.0"/>
    <col customWidth="1" min="21" max="21" width="9.43"/>
    <col customWidth="1" min="22" max="22" width="14.0"/>
    <col customWidth="1" min="23" max="23" width="12.29"/>
    <col customWidth="1" min="24" max="24" width="15.43"/>
    <col customWidth="1" min="25" max="25" width="13.43"/>
    <col customWidth="1" min="26" max="29" width="11.0"/>
    <col customWidth="1" min="30" max="30" width="14.86"/>
    <col customWidth="1" min="31" max="31" width="16.29"/>
    <col customWidth="1" min="32" max="34" width="14.0"/>
    <col customWidth="1" min="35" max="35" width="19.29"/>
    <col customWidth="1" min="36" max="36" width="17.29"/>
    <col customWidth="1" min="37" max="37" width="18.0"/>
    <col customWidth="1" min="38" max="38" width="14.0"/>
    <col customWidth="1" min="39" max="39" width="21.57"/>
    <col customWidth="1" min="40" max="40" width="18.0"/>
    <col customWidth="1" min="41" max="41" width="14.0"/>
    <col customWidth="1" min="42" max="42" width="18.0"/>
    <col customWidth="1" min="43" max="43" width="14.0"/>
    <col customWidth="1" min="44" max="44" width="18.0"/>
    <col customWidth="1" min="45" max="45" width="22.0"/>
    <col customWidth="1" min="46" max="46" width="15.29"/>
    <col customWidth="1" min="47" max="47" width="14.29"/>
    <col customWidth="1" min="48" max="48" width="12.0"/>
  </cols>
  <sheetData>
    <row r="1">
      <c r="A1" s="6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/>
    </row>
    <row r="2">
      <c r="AT2" s="7"/>
      <c r="AU2" s="7"/>
    </row>
    <row r="3">
      <c r="A3" s="8" t="s">
        <v>84</v>
      </c>
      <c r="B3" s="8" t="s">
        <v>85</v>
      </c>
      <c r="C3" s="9" t="s">
        <v>86</v>
      </c>
      <c r="D3" s="8" t="s">
        <v>87</v>
      </c>
      <c r="E3" s="9" t="s">
        <v>88</v>
      </c>
      <c r="F3" s="8" t="s">
        <v>1</v>
      </c>
      <c r="G3" s="8" t="s">
        <v>2</v>
      </c>
      <c r="H3" s="9" t="s">
        <v>89</v>
      </c>
      <c r="I3" s="9" t="s">
        <v>90</v>
      </c>
      <c r="J3" s="9" t="s">
        <v>91</v>
      </c>
      <c r="K3" s="10" t="s">
        <v>92</v>
      </c>
      <c r="L3" s="8" t="s">
        <v>35</v>
      </c>
      <c r="M3" s="9" t="s">
        <v>93</v>
      </c>
      <c r="N3" s="9" t="s">
        <v>94</v>
      </c>
      <c r="O3" s="9" t="s">
        <v>95</v>
      </c>
      <c r="P3" s="9" t="s">
        <v>96</v>
      </c>
      <c r="Q3" s="9" t="s">
        <v>69</v>
      </c>
      <c r="R3" s="9" t="s">
        <v>97</v>
      </c>
      <c r="S3" s="9" t="s">
        <v>98</v>
      </c>
      <c r="T3" s="9" t="s">
        <v>99</v>
      </c>
      <c r="U3" s="8" t="s">
        <v>100</v>
      </c>
      <c r="V3" s="8" t="s">
        <v>101</v>
      </c>
      <c r="W3" s="8" t="s">
        <v>102</v>
      </c>
      <c r="X3" s="9" t="s">
        <v>103</v>
      </c>
      <c r="Y3" s="9" t="s">
        <v>104</v>
      </c>
      <c r="Z3" s="11" t="s">
        <v>105</v>
      </c>
      <c r="AA3" s="11" t="s">
        <v>106</v>
      </c>
      <c r="AB3" s="11" t="s">
        <v>107</v>
      </c>
      <c r="AC3" s="11" t="s">
        <v>108</v>
      </c>
      <c r="AD3" s="8" t="s">
        <v>109</v>
      </c>
      <c r="AE3" s="11" t="s">
        <v>110</v>
      </c>
      <c r="AF3" s="11" t="s">
        <v>111</v>
      </c>
      <c r="AG3" s="11" t="s">
        <v>112</v>
      </c>
      <c r="AH3" s="11" t="s">
        <v>113</v>
      </c>
      <c r="AI3" s="8" t="s">
        <v>114</v>
      </c>
      <c r="AJ3" s="11" t="s">
        <v>115</v>
      </c>
      <c r="AK3" s="11" t="s">
        <v>116</v>
      </c>
      <c r="AL3" s="11" t="s">
        <v>117</v>
      </c>
      <c r="AM3" s="11" t="s">
        <v>118</v>
      </c>
      <c r="AN3" s="8" t="s">
        <v>119</v>
      </c>
      <c r="AO3" s="11" t="s">
        <v>120</v>
      </c>
      <c r="AP3" s="11" t="s">
        <v>121</v>
      </c>
      <c r="AQ3" s="11" t="s">
        <v>122</v>
      </c>
      <c r="AR3" s="11" t="s">
        <v>123</v>
      </c>
      <c r="AS3" s="8" t="s">
        <v>124</v>
      </c>
      <c r="AT3" s="12" t="s">
        <v>125</v>
      </c>
      <c r="AU3" s="12" t="s">
        <v>126</v>
      </c>
      <c r="AV3" s="8" t="s">
        <v>127</v>
      </c>
    </row>
    <row r="4">
      <c r="A4" s="5">
        <v>1.0</v>
      </c>
      <c r="B4" s="5">
        <v>1.0</v>
      </c>
      <c r="C4" s="13">
        <v>291.15</v>
      </c>
      <c r="D4" s="5">
        <v>1.0</v>
      </c>
      <c r="E4" s="13">
        <v>3.0</v>
      </c>
      <c r="F4" s="5" t="s">
        <v>12</v>
      </c>
      <c r="G4" s="5" t="s">
        <v>13</v>
      </c>
      <c r="H4" s="13">
        <v>699.78</v>
      </c>
      <c r="I4" s="14">
        <v>2500.0</v>
      </c>
      <c r="J4" s="15">
        <v>204000.0</v>
      </c>
      <c r="K4" s="14">
        <v>135.0</v>
      </c>
      <c r="L4" s="5" t="s">
        <v>36</v>
      </c>
      <c r="M4" s="14">
        <v>1.5</v>
      </c>
      <c r="N4" s="14">
        <v>1134.0</v>
      </c>
      <c r="O4" s="14">
        <v>0.12</v>
      </c>
      <c r="P4" s="14">
        <v>1600.0</v>
      </c>
      <c r="Q4" s="14">
        <v>0.85</v>
      </c>
      <c r="R4" s="16">
        <v>2.0E-9</v>
      </c>
      <c r="S4" s="16">
        <v>2.1563E-4</v>
      </c>
      <c r="T4" s="16">
        <v>1.7896E-5</v>
      </c>
      <c r="U4" s="14">
        <f t="shared" ref="U4:U30" si="1">H4*S4</f>
        <v>0.1508935614</v>
      </c>
      <c r="V4" s="14">
        <f t="shared" ref="V4:V30" si="2">N4*T4*1000</f>
        <v>20.294064</v>
      </c>
      <c r="W4" s="14">
        <f t="shared" ref="W4:W30" si="3">U4*I4*(273.15-263.15)</f>
        <v>3772.339035</v>
      </c>
      <c r="X4" s="14">
        <v>5.1</v>
      </c>
      <c r="Y4" s="14">
        <v>9.92</v>
      </c>
      <c r="Z4" s="17">
        <v>2820.0</v>
      </c>
      <c r="AA4" s="15">
        <v>3758.9</v>
      </c>
      <c r="AB4" s="17">
        <v>2840.0</v>
      </c>
      <c r="AC4" s="15">
        <v>3780.1</v>
      </c>
      <c r="AD4" s="14">
        <f t="shared" ref="AD4:AD30" si="4">IF(COUNT(Z4:AC4)&lt;4,"",Z4+((W4-AA4)/(AC4-AA4))*(AB4-Z4))</f>
        <v>2832.678335</v>
      </c>
      <c r="AE4" s="17">
        <v>3900.0</v>
      </c>
      <c r="AF4" s="15">
        <v>4799.0</v>
      </c>
      <c r="AG4" s="17">
        <v>3920.0</v>
      </c>
      <c r="AH4" s="15">
        <v>4818.9</v>
      </c>
      <c r="AI4" s="18">
        <f t="shared" ref="AI4:AI30" si="5">IF(COUNT(AE4:AH4)&lt;4,"",AE4+(((W4+X4/1000*J4)-AF4)/(AH4-AF4))*(AG4-AE4))</f>
        <v>3913.808075</v>
      </c>
      <c r="AJ4" s="17">
        <v>2940.0</v>
      </c>
      <c r="AK4" s="15">
        <v>5.0784</v>
      </c>
      <c r="AL4" s="17">
        <v>2960.0</v>
      </c>
      <c r="AM4" s="15">
        <v>5.5202</v>
      </c>
      <c r="AN4" s="14">
        <f t="shared" ref="AN4:AN30" si="6">IF(COUNT(AJ4:AM4)&lt;4,"",AJ4+((X4-AK4)/(AM4-AK4))*(AL4-AJ4))</f>
        <v>2940.977818</v>
      </c>
      <c r="AO4" s="17">
        <v>3240.0</v>
      </c>
      <c r="AP4" s="15">
        <v>9.8877</v>
      </c>
      <c r="AQ4" s="17">
        <v>3260.0</v>
      </c>
      <c r="AR4" s="15">
        <v>10.112</v>
      </c>
      <c r="AS4" s="14">
        <f t="shared" ref="AS4:AS30" si="7">IF(COUNT(AO4:AR4)&lt;4,"",AO4+((Y4-AP4)/(AR4-AP4))*(AQ4-AO4))</f>
        <v>3242.880071</v>
      </c>
      <c r="AT4" s="19">
        <v>0.0</v>
      </c>
      <c r="AU4" s="19">
        <v>0.0</v>
      </c>
      <c r="AV4" s="14">
        <f t="shared" ref="AV4:AV30" si="8">IF(COUNT(AI4,AN4)=0,"",IF(COUNT(AI4)=0,AN4,IF(COUNT(AN4)=0,AI4,MIN(AI4,AN4))))</f>
        <v>2940.977818</v>
      </c>
    </row>
    <row r="5">
      <c r="A5" s="5">
        <v>2.0</v>
      </c>
      <c r="B5" s="5">
        <v>1.0</v>
      </c>
      <c r="C5" s="13">
        <v>291.15</v>
      </c>
      <c r="D5" s="5">
        <v>1.0</v>
      </c>
      <c r="E5" s="13">
        <v>3.0</v>
      </c>
      <c r="F5" s="5" t="s">
        <v>16</v>
      </c>
      <c r="G5" s="5" t="s">
        <v>17</v>
      </c>
      <c r="H5" s="13">
        <v>745.35</v>
      </c>
      <c r="I5" s="14">
        <v>2500.0</v>
      </c>
      <c r="J5" s="15">
        <v>204000.0</v>
      </c>
      <c r="K5" s="14">
        <v>360.0</v>
      </c>
      <c r="L5" s="5" t="s">
        <v>36</v>
      </c>
      <c r="M5" s="14">
        <v>1.5</v>
      </c>
      <c r="N5" s="14">
        <v>1134.0</v>
      </c>
      <c r="O5" s="14">
        <v>0.12</v>
      </c>
      <c r="P5" s="14">
        <v>1600.0</v>
      </c>
      <c r="Q5" s="14">
        <v>0.85</v>
      </c>
      <c r="R5" s="16">
        <v>2.0E-9</v>
      </c>
      <c r="S5" s="16">
        <v>2.1563E-4</v>
      </c>
      <c r="T5" s="16">
        <v>1.7896E-5</v>
      </c>
      <c r="U5" s="14">
        <f t="shared" si="1"/>
        <v>0.1607198205</v>
      </c>
      <c r="V5" s="14">
        <f t="shared" si="2"/>
        <v>20.294064</v>
      </c>
      <c r="W5" s="14">
        <f t="shared" si="3"/>
        <v>4017.995513</v>
      </c>
      <c r="X5" s="14">
        <v>5.1</v>
      </c>
      <c r="Y5" s="14">
        <v>9.92</v>
      </c>
      <c r="Z5" s="17">
        <v>3000.0</v>
      </c>
      <c r="AA5" s="15">
        <v>4001.3</v>
      </c>
      <c r="AB5" s="17">
        <v>2030.0</v>
      </c>
      <c r="AC5" s="15">
        <v>4022.6</v>
      </c>
      <c r="AD5" s="14">
        <f t="shared" si="4"/>
        <v>2239.687928</v>
      </c>
      <c r="AE5" s="17">
        <v>4060.0</v>
      </c>
      <c r="AF5" s="15">
        <v>5046.2</v>
      </c>
      <c r="AG5" s="17">
        <v>4080.0</v>
      </c>
      <c r="AH5" s="15">
        <v>5065.1</v>
      </c>
      <c r="AI5" s="18">
        <f t="shared" si="5"/>
        <v>4072.905304</v>
      </c>
      <c r="AJ5" s="17">
        <v>2340.0</v>
      </c>
      <c r="AK5" s="15">
        <v>4.9158</v>
      </c>
      <c r="AL5" s="17">
        <v>2360.0</v>
      </c>
      <c r="AM5" s="15">
        <v>5.3684</v>
      </c>
      <c r="AN5" s="14">
        <f t="shared" si="6"/>
        <v>2348.139638</v>
      </c>
      <c r="AO5" s="17">
        <v>2640.0</v>
      </c>
      <c r="AP5" s="15">
        <v>9.8028</v>
      </c>
      <c r="AQ5" s="17">
        <v>2660.0</v>
      </c>
      <c r="AR5" s="15">
        <v>10.03</v>
      </c>
      <c r="AS5" s="14">
        <f t="shared" si="7"/>
        <v>2650.316901</v>
      </c>
      <c r="AT5" s="19">
        <v>0.0</v>
      </c>
      <c r="AU5" s="19">
        <v>0.0</v>
      </c>
      <c r="AV5" s="14">
        <f t="shared" si="8"/>
        <v>2348.139638</v>
      </c>
    </row>
    <row r="6">
      <c r="A6" s="5">
        <v>3.0</v>
      </c>
      <c r="B6" s="5">
        <v>1.0</v>
      </c>
      <c r="C6" s="13">
        <v>291.15</v>
      </c>
      <c r="D6" s="5">
        <v>1.0</v>
      </c>
      <c r="E6" s="13">
        <v>3.0</v>
      </c>
      <c r="F6" s="5" t="s">
        <v>19</v>
      </c>
      <c r="G6" s="5" t="s">
        <v>20</v>
      </c>
      <c r="H6" s="13">
        <v>778.87</v>
      </c>
      <c r="I6" s="14">
        <v>2500.0</v>
      </c>
      <c r="J6" s="15">
        <v>204000.0</v>
      </c>
      <c r="K6" s="14">
        <v>90.0</v>
      </c>
      <c r="L6" s="5" t="s">
        <v>36</v>
      </c>
      <c r="M6" s="14">
        <v>1.5</v>
      </c>
      <c r="N6" s="14">
        <v>1134.0</v>
      </c>
      <c r="O6" s="14">
        <v>0.12</v>
      </c>
      <c r="P6" s="14">
        <v>1600.0</v>
      </c>
      <c r="Q6" s="14">
        <v>0.85</v>
      </c>
      <c r="R6" s="16">
        <v>2.0E-9</v>
      </c>
      <c r="S6" s="16">
        <v>2.1563E-4</v>
      </c>
      <c r="T6" s="16">
        <v>1.7896E-5</v>
      </c>
      <c r="U6" s="14">
        <f t="shared" si="1"/>
        <v>0.1679477381</v>
      </c>
      <c r="V6" s="14">
        <f t="shared" si="2"/>
        <v>20.294064</v>
      </c>
      <c r="W6" s="14">
        <f t="shared" si="3"/>
        <v>4198.693453</v>
      </c>
      <c r="X6" s="14">
        <v>5.1</v>
      </c>
      <c r="Y6" s="14">
        <v>9.92</v>
      </c>
      <c r="Z6" s="17">
        <v>3120.0</v>
      </c>
      <c r="AA6" s="15">
        <v>4185.3</v>
      </c>
      <c r="AB6" s="17">
        <v>3140.0</v>
      </c>
      <c r="AC6" s="15">
        <v>4206.7</v>
      </c>
      <c r="AD6" s="14">
        <f t="shared" si="4"/>
        <v>3132.517245</v>
      </c>
      <c r="AE6" s="17">
        <v>4180.0</v>
      </c>
      <c r="AF6" s="15">
        <v>5222.5</v>
      </c>
      <c r="AG6" s="17">
        <v>4200.0</v>
      </c>
      <c r="AH6" s="15">
        <v>5240.8</v>
      </c>
      <c r="AI6" s="18">
        <f t="shared" si="5"/>
        <v>4198.134921</v>
      </c>
      <c r="AJ6" s="17">
        <v>3240.0</v>
      </c>
      <c r="AK6" s="15">
        <v>5.0865</v>
      </c>
      <c r="AL6" s="17">
        <v>3260.0</v>
      </c>
      <c r="AM6" s="15">
        <v>5.5275</v>
      </c>
      <c r="AN6" s="14">
        <f t="shared" si="6"/>
        <v>3240.612245</v>
      </c>
      <c r="AO6" s="17">
        <v>3540.0</v>
      </c>
      <c r="AP6" s="15">
        <v>9.8421</v>
      </c>
      <c r="AQ6" s="17">
        <v>3560.0</v>
      </c>
      <c r="AR6" s="15">
        <v>10.066</v>
      </c>
      <c r="AS6" s="14">
        <f t="shared" si="7"/>
        <v>3546.958464</v>
      </c>
      <c r="AT6" s="19">
        <v>0.0</v>
      </c>
      <c r="AU6" s="19">
        <v>0.0</v>
      </c>
      <c r="AV6" s="14">
        <f t="shared" si="8"/>
        <v>3240.612245</v>
      </c>
    </row>
    <row r="7">
      <c r="A7" s="5">
        <v>4.0</v>
      </c>
      <c r="B7" s="5">
        <v>1.0</v>
      </c>
      <c r="C7" s="13">
        <v>291.15</v>
      </c>
      <c r="D7" s="5">
        <v>2.0</v>
      </c>
      <c r="E7" s="13">
        <v>5.0</v>
      </c>
      <c r="F7" s="5" t="s">
        <v>12</v>
      </c>
      <c r="G7" s="5" t="s">
        <v>13</v>
      </c>
      <c r="H7" s="13">
        <v>699.78</v>
      </c>
      <c r="I7" s="14">
        <v>2500.0</v>
      </c>
      <c r="J7" s="15">
        <v>204000.0</v>
      </c>
      <c r="K7" s="14">
        <v>135.0</v>
      </c>
      <c r="L7" s="5" t="s">
        <v>36</v>
      </c>
      <c r="M7" s="14">
        <v>1.5</v>
      </c>
      <c r="N7" s="14">
        <v>1134.0</v>
      </c>
      <c r="O7" s="14">
        <v>0.12</v>
      </c>
      <c r="P7" s="14">
        <v>1600.0</v>
      </c>
      <c r="Q7" s="14">
        <v>0.85</v>
      </c>
      <c r="R7" s="16">
        <v>2.0E-9</v>
      </c>
      <c r="S7" s="16">
        <v>2.1563E-4</v>
      </c>
      <c r="T7" s="16">
        <v>1.7896E-5</v>
      </c>
      <c r="U7" s="14">
        <f t="shared" si="1"/>
        <v>0.1508935614</v>
      </c>
      <c r="V7" s="14">
        <f t="shared" si="2"/>
        <v>20.294064</v>
      </c>
      <c r="W7" s="14">
        <f t="shared" si="3"/>
        <v>3772.339035</v>
      </c>
      <c r="X7" s="14">
        <v>5.1</v>
      </c>
      <c r="Y7" s="14">
        <v>9.92</v>
      </c>
      <c r="Z7" s="17">
        <v>1780.0</v>
      </c>
      <c r="AA7" s="15">
        <v>3763.3</v>
      </c>
      <c r="AB7" s="17">
        <v>1800.0</v>
      </c>
      <c r="AC7" s="15">
        <v>3797.0</v>
      </c>
      <c r="AD7" s="14">
        <f t="shared" si="4"/>
        <v>1785.364412</v>
      </c>
      <c r="AE7" s="17">
        <v>2440.0</v>
      </c>
      <c r="AF7" s="15">
        <v>4798.3</v>
      </c>
      <c r="AG7" s="17">
        <v>2460.0</v>
      </c>
      <c r="AH7" s="15">
        <v>4827.0</v>
      </c>
      <c r="AI7" s="14">
        <f t="shared" si="5"/>
        <v>2450.062045</v>
      </c>
      <c r="AJ7" s="17">
        <v>1880.0</v>
      </c>
      <c r="AK7" s="15">
        <v>4.7813</v>
      </c>
      <c r="AL7" s="17">
        <v>1900.0</v>
      </c>
      <c r="AM7" s="15">
        <v>5.2435</v>
      </c>
      <c r="AN7" s="14">
        <f t="shared" si="6"/>
        <v>1893.790567</v>
      </c>
      <c r="AO7" s="17">
        <v>2180.0</v>
      </c>
      <c r="AP7" s="15">
        <v>9.7391</v>
      </c>
      <c r="AQ7" s="17">
        <v>2200.0</v>
      </c>
      <c r="AR7" s="15">
        <v>9.99697</v>
      </c>
      <c r="AS7" s="14">
        <f t="shared" si="7"/>
        <v>2194.030325</v>
      </c>
      <c r="AT7" s="19">
        <v>0.0026659</v>
      </c>
      <c r="AU7" s="19">
        <v>2.266</v>
      </c>
      <c r="AV7" s="14">
        <f t="shared" si="8"/>
        <v>1893.790567</v>
      </c>
    </row>
    <row r="8">
      <c r="A8" s="5">
        <v>5.0</v>
      </c>
      <c r="B8" s="5">
        <v>1.0</v>
      </c>
      <c r="C8" s="13">
        <v>291.15</v>
      </c>
      <c r="D8" s="5">
        <v>2.0</v>
      </c>
      <c r="E8" s="13">
        <v>5.0</v>
      </c>
      <c r="F8" s="5" t="s">
        <v>16</v>
      </c>
      <c r="G8" s="5" t="s">
        <v>17</v>
      </c>
      <c r="H8" s="13">
        <v>745.35</v>
      </c>
      <c r="I8" s="14">
        <v>2500.0</v>
      </c>
      <c r="J8" s="15">
        <v>204000.0</v>
      </c>
      <c r="K8" s="14">
        <v>360.0</v>
      </c>
      <c r="L8" s="5" t="s">
        <v>36</v>
      </c>
      <c r="M8" s="14">
        <v>1.5</v>
      </c>
      <c r="N8" s="14">
        <v>1134.0</v>
      </c>
      <c r="O8" s="14">
        <v>0.12</v>
      </c>
      <c r="P8" s="14">
        <v>1600.0</v>
      </c>
      <c r="Q8" s="14">
        <v>0.85</v>
      </c>
      <c r="R8" s="16">
        <v>2.0E-9</v>
      </c>
      <c r="S8" s="16">
        <v>2.1563E-4</v>
      </c>
      <c r="T8" s="16">
        <v>1.7896E-5</v>
      </c>
      <c r="U8" s="14">
        <f t="shared" si="1"/>
        <v>0.1607198205</v>
      </c>
      <c r="V8" s="14">
        <f t="shared" si="2"/>
        <v>20.294064</v>
      </c>
      <c r="W8" s="14">
        <f t="shared" si="3"/>
        <v>4017.995513</v>
      </c>
      <c r="X8" s="14">
        <v>5.1</v>
      </c>
      <c r="Y8" s="14">
        <v>9.92</v>
      </c>
      <c r="Z8" s="17">
        <v>1880.0</v>
      </c>
      <c r="AA8" s="15">
        <v>4003.9</v>
      </c>
      <c r="AB8" s="17">
        <v>1900.0</v>
      </c>
      <c r="AC8" s="15">
        <v>4038.0</v>
      </c>
      <c r="AD8" s="14">
        <f t="shared" si="4"/>
        <v>1888.267163</v>
      </c>
      <c r="AE8" s="17">
        <v>2540.0</v>
      </c>
      <c r="AF8" s="15">
        <v>5046.4</v>
      </c>
      <c r="AG8" s="17">
        <v>2560.0</v>
      </c>
      <c r="AH8" s="15">
        <v>5075.4</v>
      </c>
      <c r="AI8" s="14">
        <f t="shared" si="5"/>
        <v>2548.272767</v>
      </c>
      <c r="AJ8" s="17">
        <v>1980.0</v>
      </c>
      <c r="AK8" s="15">
        <v>4.7117</v>
      </c>
      <c r="AL8" s="17">
        <v>2000.0</v>
      </c>
      <c r="AM8" s="15">
        <v>5.1793</v>
      </c>
      <c r="AN8" s="14">
        <f t="shared" si="6"/>
        <v>1996.608212</v>
      </c>
      <c r="AO8" s="17">
        <v>2300.0</v>
      </c>
      <c r="AP8" s="15">
        <v>9.8932</v>
      </c>
      <c r="AQ8" s="17">
        <v>2320.0</v>
      </c>
      <c r="AR8" s="15">
        <v>10.115</v>
      </c>
      <c r="AS8" s="14">
        <f t="shared" si="7"/>
        <v>2302.416592</v>
      </c>
      <c r="AT8" s="19">
        <v>0.0</v>
      </c>
      <c r="AU8" s="19">
        <v>0.0</v>
      </c>
      <c r="AV8" s="14">
        <f t="shared" si="8"/>
        <v>1996.608212</v>
      </c>
    </row>
    <row r="9">
      <c r="A9" s="5">
        <v>6.0</v>
      </c>
      <c r="B9" s="5">
        <v>1.0</v>
      </c>
      <c r="C9" s="13">
        <v>291.15</v>
      </c>
      <c r="D9" s="5">
        <v>2.0</v>
      </c>
      <c r="E9" s="13">
        <v>5.0</v>
      </c>
      <c r="F9" s="5" t="s">
        <v>19</v>
      </c>
      <c r="G9" s="5" t="s">
        <v>20</v>
      </c>
      <c r="H9" s="13">
        <v>778.87</v>
      </c>
      <c r="I9" s="14">
        <v>2500.0</v>
      </c>
      <c r="J9" s="15">
        <v>204000.0</v>
      </c>
      <c r="K9" s="14">
        <v>90.0</v>
      </c>
      <c r="L9" s="5" t="s">
        <v>36</v>
      </c>
      <c r="M9" s="14">
        <v>1.5</v>
      </c>
      <c r="N9" s="14">
        <v>1134.0</v>
      </c>
      <c r="O9" s="14">
        <v>0.12</v>
      </c>
      <c r="P9" s="14">
        <v>1600.0</v>
      </c>
      <c r="Q9" s="14">
        <v>0.85</v>
      </c>
      <c r="R9" s="16">
        <v>2.0E-9</v>
      </c>
      <c r="S9" s="16">
        <v>2.1563E-4</v>
      </c>
      <c r="T9" s="16">
        <v>1.7896E-5</v>
      </c>
      <c r="U9" s="14">
        <f t="shared" si="1"/>
        <v>0.1679477381</v>
      </c>
      <c r="V9" s="14">
        <f t="shared" si="2"/>
        <v>20.294064</v>
      </c>
      <c r="W9" s="14">
        <f t="shared" si="3"/>
        <v>4198.693453</v>
      </c>
      <c r="X9" s="14">
        <v>5.1</v>
      </c>
      <c r="Y9" s="14">
        <v>9.92</v>
      </c>
      <c r="Z9" s="17">
        <v>1960.0</v>
      </c>
      <c r="AA9" s="15">
        <v>4189.4</v>
      </c>
      <c r="AB9" s="17">
        <v>1980.0</v>
      </c>
      <c r="AC9" s="15">
        <v>4223.6</v>
      </c>
      <c r="AD9" s="14">
        <f t="shared" si="4"/>
        <v>1965.434768</v>
      </c>
      <c r="AE9" s="17">
        <v>2620.0</v>
      </c>
      <c r="AF9" s="15">
        <v>5236.4</v>
      </c>
      <c r="AG9" s="17">
        <v>2640.0</v>
      </c>
      <c r="AH9" s="15">
        <v>5265.7</v>
      </c>
      <c r="AI9" s="14">
        <f t="shared" si="5"/>
        <v>2621.838534</v>
      </c>
      <c r="AJ9" s="17">
        <v>2060.0</v>
      </c>
      <c r="AK9" s="15">
        <v>4.7842</v>
      </c>
      <c r="AL9" s="17">
        <v>2080.0</v>
      </c>
      <c r="AM9" s="15">
        <v>5.2465</v>
      </c>
      <c r="AN9" s="14">
        <f t="shared" si="6"/>
        <v>2073.662124</v>
      </c>
      <c r="AO9" s="17">
        <v>2360.0</v>
      </c>
      <c r="AP9" s="15">
        <v>9.6917</v>
      </c>
      <c r="AQ9" s="17">
        <v>2380.0</v>
      </c>
      <c r="AR9" s="15">
        <v>9.9218</v>
      </c>
      <c r="AS9" s="14">
        <f t="shared" si="7"/>
        <v>2379.843546</v>
      </c>
      <c r="AT9" s="19">
        <v>0.0</v>
      </c>
      <c r="AU9" s="19">
        <v>0.0</v>
      </c>
      <c r="AV9" s="14">
        <f t="shared" si="8"/>
        <v>2073.662124</v>
      </c>
    </row>
    <row r="10">
      <c r="A10" s="5">
        <v>7.0</v>
      </c>
      <c r="B10" s="5">
        <v>1.0</v>
      </c>
      <c r="C10" s="13">
        <v>291.15</v>
      </c>
      <c r="D10" s="5">
        <v>3.0</v>
      </c>
      <c r="E10" s="13">
        <v>8.0</v>
      </c>
      <c r="F10" s="5" t="s">
        <v>12</v>
      </c>
      <c r="G10" s="5" t="s">
        <v>13</v>
      </c>
      <c r="H10" s="13">
        <v>699.78</v>
      </c>
      <c r="I10" s="14">
        <v>2500.0</v>
      </c>
      <c r="J10" s="15">
        <v>204000.0</v>
      </c>
      <c r="K10" s="14">
        <v>135.0</v>
      </c>
      <c r="L10" s="5" t="s">
        <v>36</v>
      </c>
      <c r="M10" s="14">
        <v>1.5</v>
      </c>
      <c r="N10" s="14">
        <v>1134.0</v>
      </c>
      <c r="O10" s="14">
        <v>0.12</v>
      </c>
      <c r="P10" s="14">
        <v>1600.0</v>
      </c>
      <c r="Q10" s="14">
        <v>0.85</v>
      </c>
      <c r="R10" s="16">
        <v>2.0E-9</v>
      </c>
      <c r="S10" s="16">
        <v>2.1563E-4</v>
      </c>
      <c r="T10" s="16">
        <v>1.7896E-5</v>
      </c>
      <c r="U10" s="14">
        <f t="shared" si="1"/>
        <v>0.1508935614</v>
      </c>
      <c r="V10" s="14">
        <f t="shared" si="2"/>
        <v>20.294064</v>
      </c>
      <c r="W10" s="14">
        <f t="shared" si="3"/>
        <v>3772.339035</v>
      </c>
      <c r="X10" s="14">
        <v>5.1</v>
      </c>
      <c r="Y10" s="14">
        <v>9.92</v>
      </c>
      <c r="Z10" s="17">
        <v>1180.0</v>
      </c>
      <c r="AA10" s="15">
        <v>3768.7</v>
      </c>
      <c r="AB10" s="17">
        <v>1200.0</v>
      </c>
      <c r="AC10" s="15">
        <v>3816.0</v>
      </c>
      <c r="AD10" s="14">
        <f t="shared" si="4"/>
        <v>1181.538704</v>
      </c>
      <c r="AE10" s="17">
        <v>1620.0</v>
      </c>
      <c r="AF10" s="15">
        <v>4778.8</v>
      </c>
      <c r="AG10" s="17">
        <v>1640.0</v>
      </c>
      <c r="AH10" s="15">
        <v>4819.7</v>
      </c>
      <c r="AI10" s="14">
        <f t="shared" si="5"/>
        <v>1636.596105</v>
      </c>
      <c r="AJ10" s="17">
        <v>1280.0</v>
      </c>
      <c r="AK10" s="15">
        <v>4.876</v>
      </c>
      <c r="AL10" s="17">
        <v>1300.0</v>
      </c>
      <c r="AM10" s="15">
        <v>5.3318</v>
      </c>
      <c r="AN10" s="14">
        <f t="shared" si="6"/>
        <v>1289.828872</v>
      </c>
      <c r="AO10" s="17">
        <v>1580.0</v>
      </c>
      <c r="AP10" s="15">
        <v>9.7881</v>
      </c>
      <c r="AQ10" s="17">
        <v>1600.0</v>
      </c>
      <c r="AR10" s="15">
        <v>10.017</v>
      </c>
      <c r="AS10" s="14">
        <f t="shared" si="7"/>
        <v>1591.524683</v>
      </c>
      <c r="AT10" s="19">
        <v>0.013915</v>
      </c>
      <c r="AU10" s="19">
        <v>11.828</v>
      </c>
      <c r="AV10" s="14">
        <f t="shared" si="8"/>
        <v>1289.828872</v>
      </c>
    </row>
    <row r="11">
      <c r="A11" s="5">
        <v>8.0</v>
      </c>
      <c r="B11" s="5">
        <v>1.0</v>
      </c>
      <c r="C11" s="13">
        <v>291.15</v>
      </c>
      <c r="D11" s="5">
        <v>3.0</v>
      </c>
      <c r="E11" s="13">
        <v>8.0</v>
      </c>
      <c r="F11" s="5" t="s">
        <v>16</v>
      </c>
      <c r="G11" s="5" t="s">
        <v>17</v>
      </c>
      <c r="H11" s="13">
        <v>745.35</v>
      </c>
      <c r="I11" s="14">
        <v>2500.0</v>
      </c>
      <c r="J11" s="15">
        <v>204000.0</v>
      </c>
      <c r="K11" s="14">
        <v>360.0</v>
      </c>
      <c r="L11" s="5" t="s">
        <v>36</v>
      </c>
      <c r="M11" s="14">
        <v>1.5</v>
      </c>
      <c r="N11" s="14">
        <v>1134.0</v>
      </c>
      <c r="O11" s="14">
        <v>0.12</v>
      </c>
      <c r="P11" s="14">
        <v>1600.0</v>
      </c>
      <c r="Q11" s="14">
        <v>0.85</v>
      </c>
      <c r="R11" s="16">
        <v>2.0E-9</v>
      </c>
      <c r="S11" s="16">
        <v>2.1563E-4</v>
      </c>
      <c r="T11" s="16">
        <v>1.7896E-5</v>
      </c>
      <c r="U11" s="14">
        <f t="shared" si="1"/>
        <v>0.1607198205</v>
      </c>
      <c r="V11" s="14">
        <f t="shared" si="2"/>
        <v>20.294064</v>
      </c>
      <c r="W11" s="14">
        <f t="shared" si="3"/>
        <v>4017.995513</v>
      </c>
      <c r="X11" s="14">
        <v>5.1</v>
      </c>
      <c r="Y11" s="14">
        <v>9.92</v>
      </c>
      <c r="Z11" s="17">
        <v>1220.0</v>
      </c>
      <c r="AA11" s="15">
        <v>3966.1</v>
      </c>
      <c r="AB11" s="17">
        <v>1240.0</v>
      </c>
      <c r="AC11" s="15">
        <v>4018.1</v>
      </c>
      <c r="AD11" s="14">
        <f t="shared" si="4"/>
        <v>1239.959813</v>
      </c>
      <c r="AE11" s="17">
        <v>1660.0</v>
      </c>
      <c r="AF11" s="15">
        <v>5025.5</v>
      </c>
      <c r="AG11" s="17">
        <v>1680.0</v>
      </c>
      <c r="AH11" s="15">
        <v>5069.6</v>
      </c>
      <c r="AI11" s="14">
        <f t="shared" si="5"/>
        <v>1674.9186</v>
      </c>
      <c r="AJ11" s="17">
        <v>1340.0</v>
      </c>
      <c r="AK11" s="15">
        <v>4.9141</v>
      </c>
      <c r="AL11" s="17">
        <v>1360.0</v>
      </c>
      <c r="AM11" s="15">
        <v>5.3667</v>
      </c>
      <c r="AN11" s="14">
        <f t="shared" si="6"/>
        <v>1348.214759</v>
      </c>
      <c r="AO11" s="17">
        <v>1640.0</v>
      </c>
      <c r="AP11" s="15">
        <v>9.7616</v>
      </c>
      <c r="AQ11" s="17">
        <v>1660.0</v>
      </c>
      <c r="AR11" s="15">
        <v>9.9891</v>
      </c>
      <c r="AS11" s="14">
        <f t="shared" si="7"/>
        <v>1653.925275</v>
      </c>
      <c r="AT11" s="19">
        <v>0.013337</v>
      </c>
      <c r="AU11" s="19">
        <v>11.337</v>
      </c>
      <c r="AV11" s="14">
        <f t="shared" si="8"/>
        <v>1348.214759</v>
      </c>
    </row>
    <row r="12">
      <c r="A12" s="5">
        <v>9.0</v>
      </c>
      <c r="B12" s="5">
        <v>1.0</v>
      </c>
      <c r="C12" s="13">
        <v>291.15</v>
      </c>
      <c r="D12" s="5">
        <v>3.0</v>
      </c>
      <c r="E12" s="13">
        <v>8.0</v>
      </c>
      <c r="F12" s="5" t="s">
        <v>19</v>
      </c>
      <c r="G12" s="5" t="s">
        <v>20</v>
      </c>
      <c r="H12" s="13">
        <v>778.87</v>
      </c>
      <c r="I12" s="14">
        <v>2500.0</v>
      </c>
      <c r="J12" s="15">
        <v>204000.0</v>
      </c>
      <c r="K12" s="14">
        <v>90.0</v>
      </c>
      <c r="L12" s="5" t="s">
        <v>36</v>
      </c>
      <c r="M12" s="14">
        <v>1.5</v>
      </c>
      <c r="N12" s="14">
        <v>1134.0</v>
      </c>
      <c r="O12" s="14">
        <v>0.12</v>
      </c>
      <c r="P12" s="14">
        <v>1600.0</v>
      </c>
      <c r="Q12" s="14">
        <v>0.85</v>
      </c>
      <c r="R12" s="16">
        <v>2.0E-9</v>
      </c>
      <c r="S12" s="16">
        <v>2.1563E-4</v>
      </c>
      <c r="T12" s="16">
        <v>1.7896E-5</v>
      </c>
      <c r="U12" s="14">
        <f t="shared" si="1"/>
        <v>0.1679477381</v>
      </c>
      <c r="V12" s="14">
        <f t="shared" si="2"/>
        <v>20.294064</v>
      </c>
      <c r="W12" s="14">
        <f t="shared" si="3"/>
        <v>4198.693453</v>
      </c>
      <c r="X12" s="14">
        <v>5.1</v>
      </c>
      <c r="Y12" s="14">
        <v>9.92</v>
      </c>
      <c r="Z12" s="17">
        <v>1280.0</v>
      </c>
      <c r="AA12" s="15">
        <v>4165.7</v>
      </c>
      <c r="AB12" s="17">
        <v>1300.0</v>
      </c>
      <c r="AC12" s="15">
        <v>4217.7</v>
      </c>
      <c r="AD12" s="14">
        <f t="shared" si="4"/>
        <v>1292.689789</v>
      </c>
      <c r="AE12" s="17">
        <v>1720.0</v>
      </c>
      <c r="AF12" s="15">
        <v>5226.6</v>
      </c>
      <c r="AG12" s="17">
        <v>1740.0</v>
      </c>
      <c r="AH12" s="15">
        <v>5271.1</v>
      </c>
      <c r="AI12" s="14">
        <f t="shared" si="5"/>
        <v>1725.615035</v>
      </c>
      <c r="AJ12" s="17">
        <v>1400.0</v>
      </c>
      <c r="AK12" s="15">
        <v>5.0817</v>
      </c>
      <c r="AL12" s="17">
        <v>1420.0</v>
      </c>
      <c r="AM12" s="15">
        <v>5.5232</v>
      </c>
      <c r="AN12" s="14">
        <f t="shared" si="6"/>
        <v>1400.828992</v>
      </c>
      <c r="AO12" s="20">
        <v>1700.0</v>
      </c>
      <c r="AP12" s="21">
        <v>9.829</v>
      </c>
      <c r="AQ12" s="20">
        <v>1720.0</v>
      </c>
      <c r="AR12" s="21">
        <v>10.107</v>
      </c>
      <c r="AS12" s="18">
        <f t="shared" si="7"/>
        <v>1706.546763</v>
      </c>
      <c r="AT12" s="19">
        <v>0.012785</v>
      </c>
      <c r="AU12" s="19">
        <v>10.868</v>
      </c>
      <c r="AV12" s="14">
        <f t="shared" si="8"/>
        <v>1400.828992</v>
      </c>
    </row>
    <row r="13">
      <c r="A13" s="5">
        <v>10.0</v>
      </c>
      <c r="B13" s="5">
        <v>2.0</v>
      </c>
      <c r="C13" s="13">
        <v>294.15</v>
      </c>
      <c r="D13" s="5">
        <v>1.0</v>
      </c>
      <c r="E13" s="13">
        <v>3.0</v>
      </c>
      <c r="F13" s="5" t="s">
        <v>12</v>
      </c>
      <c r="G13" s="5" t="s">
        <v>13</v>
      </c>
      <c r="H13" s="13">
        <v>699.78</v>
      </c>
      <c r="I13" s="14">
        <v>2500.0</v>
      </c>
      <c r="J13" s="15">
        <v>204000.0</v>
      </c>
      <c r="K13" s="14">
        <v>135.0</v>
      </c>
      <c r="L13" s="5" t="s">
        <v>36</v>
      </c>
      <c r="M13" s="14">
        <v>1.5</v>
      </c>
      <c r="N13" s="14">
        <v>1134.0</v>
      </c>
      <c r="O13" s="14">
        <v>0.12</v>
      </c>
      <c r="P13" s="14">
        <v>1600.0</v>
      </c>
      <c r="Q13" s="14">
        <v>0.85</v>
      </c>
      <c r="R13" s="16">
        <v>2.0E-9</v>
      </c>
      <c r="S13" s="16">
        <v>2.1563E-4</v>
      </c>
      <c r="T13" s="16">
        <v>1.7896E-5</v>
      </c>
      <c r="U13" s="14">
        <f t="shared" si="1"/>
        <v>0.1508935614</v>
      </c>
      <c r="V13" s="14">
        <f t="shared" si="2"/>
        <v>20.294064</v>
      </c>
      <c r="W13" s="14">
        <f t="shared" si="3"/>
        <v>3772.339035</v>
      </c>
      <c r="X13" s="14">
        <v>5.1</v>
      </c>
      <c r="Y13" s="14">
        <v>9.92</v>
      </c>
      <c r="Z13" s="17">
        <v>2480.0</v>
      </c>
      <c r="AA13" s="15">
        <v>3750.4</v>
      </c>
      <c r="AB13" s="17">
        <v>2500.0</v>
      </c>
      <c r="AC13" s="15">
        <v>3775.2</v>
      </c>
      <c r="AD13" s="14">
        <f t="shared" si="4"/>
        <v>2497.69277</v>
      </c>
      <c r="AE13" s="17">
        <v>3380.0</v>
      </c>
      <c r="AF13" s="15">
        <v>4791.4</v>
      </c>
      <c r="AG13" s="17">
        <v>3400.0</v>
      </c>
      <c r="AH13" s="15">
        <v>4812.9</v>
      </c>
      <c r="AI13" s="14">
        <f t="shared" si="5"/>
        <v>3399.850265</v>
      </c>
      <c r="AJ13" s="17">
        <v>2600.0</v>
      </c>
      <c r="AK13" s="15">
        <v>4.967</v>
      </c>
      <c r="AL13" s="17">
        <v>2620.0</v>
      </c>
      <c r="AM13" s="15">
        <v>5.416</v>
      </c>
      <c r="AN13" s="14">
        <f t="shared" si="6"/>
        <v>2605.924276</v>
      </c>
      <c r="AO13" s="17">
        <v>2900.0</v>
      </c>
      <c r="AP13" s="15">
        <v>9.7888</v>
      </c>
      <c r="AQ13" s="17">
        <v>2920.0</v>
      </c>
      <c r="AR13" s="15">
        <v>10.015</v>
      </c>
      <c r="AS13" s="14">
        <f t="shared" si="7"/>
        <v>2911.600354</v>
      </c>
      <c r="AT13" s="19">
        <v>0.0</v>
      </c>
      <c r="AU13" s="19">
        <v>0.0</v>
      </c>
      <c r="AV13" s="14">
        <f t="shared" si="8"/>
        <v>2605.924276</v>
      </c>
    </row>
    <row r="14">
      <c r="A14" s="5">
        <v>11.0</v>
      </c>
      <c r="B14" s="5">
        <v>2.0</v>
      </c>
      <c r="C14" s="13">
        <v>294.15</v>
      </c>
      <c r="D14" s="5">
        <v>1.0</v>
      </c>
      <c r="E14" s="13">
        <v>3.0</v>
      </c>
      <c r="F14" s="5" t="s">
        <v>16</v>
      </c>
      <c r="G14" s="5" t="s">
        <v>17</v>
      </c>
      <c r="H14" s="13">
        <v>745.35</v>
      </c>
      <c r="I14" s="14">
        <v>2500.0</v>
      </c>
      <c r="J14" s="15">
        <v>204000.0</v>
      </c>
      <c r="K14" s="14">
        <v>360.0</v>
      </c>
      <c r="L14" s="5" t="s">
        <v>36</v>
      </c>
      <c r="M14" s="14">
        <v>1.5</v>
      </c>
      <c r="N14" s="14">
        <v>1134.0</v>
      </c>
      <c r="O14" s="14">
        <v>0.12</v>
      </c>
      <c r="P14" s="14">
        <v>1600.0</v>
      </c>
      <c r="Q14" s="14">
        <v>0.85</v>
      </c>
      <c r="R14" s="16">
        <v>2.0E-9</v>
      </c>
      <c r="S14" s="16">
        <v>2.1563E-4</v>
      </c>
      <c r="T14" s="16">
        <v>1.7896E-5</v>
      </c>
      <c r="U14" s="14">
        <f t="shared" si="1"/>
        <v>0.1607198205</v>
      </c>
      <c r="V14" s="14">
        <f t="shared" si="2"/>
        <v>20.294064</v>
      </c>
      <c r="W14" s="14">
        <f t="shared" si="3"/>
        <v>4017.995513</v>
      </c>
      <c r="X14" s="14">
        <v>5.1</v>
      </c>
      <c r="Y14" s="14">
        <v>9.92</v>
      </c>
      <c r="Z14" s="17">
        <v>2640.0</v>
      </c>
      <c r="AA14" s="15">
        <v>4001.4</v>
      </c>
      <c r="AB14" s="17">
        <v>2660.0</v>
      </c>
      <c r="AC14" s="15">
        <v>4026.3</v>
      </c>
      <c r="AD14" s="14">
        <f t="shared" si="4"/>
        <v>2653.329729</v>
      </c>
      <c r="AE14" s="17">
        <v>3540.0</v>
      </c>
      <c r="AF14" s="15">
        <v>5049.4</v>
      </c>
      <c r="AG14" s="17">
        <v>3560.0</v>
      </c>
      <c r="AH14" s="15">
        <v>5071.1</v>
      </c>
      <c r="AI14" s="14">
        <f t="shared" si="5"/>
        <v>3548.290795</v>
      </c>
      <c r="AJ14" s="17">
        <v>2760.0</v>
      </c>
      <c r="AK14" s="15">
        <v>5.0658</v>
      </c>
      <c r="AL14" s="17">
        <v>2780.0</v>
      </c>
      <c r="AM14" s="15">
        <v>5.5084</v>
      </c>
      <c r="AN14" s="14">
        <f t="shared" si="6"/>
        <v>2761.545413</v>
      </c>
      <c r="AO14" s="17">
        <v>3060.0</v>
      </c>
      <c r="AP14" s="15">
        <v>9.8829</v>
      </c>
      <c r="AQ14" s="17">
        <v>3080.0</v>
      </c>
      <c r="AR14" s="15">
        <v>10.107</v>
      </c>
      <c r="AS14" s="14">
        <f t="shared" si="7"/>
        <v>3063.311022</v>
      </c>
      <c r="AT14" s="19">
        <v>0.0</v>
      </c>
      <c r="AU14" s="19">
        <v>0.0</v>
      </c>
      <c r="AV14" s="14">
        <f t="shared" si="8"/>
        <v>2761.545413</v>
      </c>
    </row>
    <row r="15">
      <c r="A15" s="5">
        <v>12.0</v>
      </c>
      <c r="B15" s="5">
        <v>2.0</v>
      </c>
      <c r="C15" s="13">
        <v>294.15</v>
      </c>
      <c r="D15" s="5">
        <v>1.0</v>
      </c>
      <c r="E15" s="13">
        <v>3.0</v>
      </c>
      <c r="F15" s="5" t="s">
        <v>19</v>
      </c>
      <c r="G15" s="5" t="s">
        <v>20</v>
      </c>
      <c r="H15" s="13">
        <v>778.87</v>
      </c>
      <c r="I15" s="14">
        <v>2500.0</v>
      </c>
      <c r="J15" s="15">
        <v>204000.0</v>
      </c>
      <c r="K15" s="14">
        <v>90.0</v>
      </c>
      <c r="L15" s="5" t="s">
        <v>36</v>
      </c>
      <c r="M15" s="14">
        <v>1.5</v>
      </c>
      <c r="N15" s="14">
        <v>1134.0</v>
      </c>
      <c r="O15" s="14">
        <v>0.12</v>
      </c>
      <c r="P15" s="14">
        <v>1600.0</v>
      </c>
      <c r="Q15" s="14">
        <v>0.85</v>
      </c>
      <c r="R15" s="16">
        <v>2.0E-9</v>
      </c>
      <c r="S15" s="16">
        <v>2.1563E-4</v>
      </c>
      <c r="T15" s="16">
        <v>1.7896E-5</v>
      </c>
      <c r="U15" s="14">
        <f t="shared" si="1"/>
        <v>0.1679477381</v>
      </c>
      <c r="V15" s="14">
        <f t="shared" si="2"/>
        <v>20.294064</v>
      </c>
      <c r="W15" s="14">
        <f t="shared" si="3"/>
        <v>4198.693453</v>
      </c>
      <c r="X15" s="14">
        <v>5.1</v>
      </c>
      <c r="Y15" s="14">
        <v>9.92</v>
      </c>
      <c r="Z15" s="17">
        <v>2760.0</v>
      </c>
      <c r="AA15" s="15">
        <v>4181.6</v>
      </c>
      <c r="AB15" s="17">
        <v>2780.0</v>
      </c>
      <c r="AC15" s="15">
        <v>4206.6</v>
      </c>
      <c r="AD15" s="14">
        <f t="shared" si="4"/>
        <v>2773.674762</v>
      </c>
      <c r="AE15" s="17">
        <v>3660.0</v>
      </c>
      <c r="AF15" s="15">
        <v>5235.4</v>
      </c>
      <c r="AG15" s="17">
        <v>3680.0</v>
      </c>
      <c r="AH15" s="15">
        <v>5257.3</v>
      </c>
      <c r="AI15" s="14">
        <f t="shared" si="5"/>
        <v>3663.373016</v>
      </c>
      <c r="AJ15" s="17">
        <v>2880.0</v>
      </c>
      <c r="AK15" s="15">
        <v>5.0593</v>
      </c>
      <c r="AL15" s="17">
        <v>2900.0</v>
      </c>
      <c r="AM15" s="15">
        <v>5.5023</v>
      </c>
      <c r="AN15" s="14">
        <f t="shared" si="6"/>
        <v>2881.837472</v>
      </c>
      <c r="AO15" s="17">
        <v>3180.0</v>
      </c>
      <c r="AP15" s="15">
        <v>9.8794</v>
      </c>
      <c r="AQ15" s="17">
        <v>3200.0</v>
      </c>
      <c r="AR15" s="15">
        <v>10.104</v>
      </c>
      <c r="AS15" s="14">
        <f t="shared" si="7"/>
        <v>3183.615316</v>
      </c>
      <c r="AT15" s="19">
        <v>0.0</v>
      </c>
      <c r="AU15" s="19">
        <v>0.0</v>
      </c>
      <c r="AV15" s="14">
        <f t="shared" si="8"/>
        <v>2881.837472</v>
      </c>
    </row>
    <row r="16">
      <c r="A16" s="5">
        <v>13.0</v>
      </c>
      <c r="B16" s="5">
        <v>2.0</v>
      </c>
      <c r="C16" s="13">
        <v>294.15</v>
      </c>
      <c r="D16" s="5">
        <v>2.0</v>
      </c>
      <c r="E16" s="13">
        <v>5.0</v>
      </c>
      <c r="F16" s="5" t="s">
        <v>12</v>
      </c>
      <c r="G16" s="5" t="s">
        <v>13</v>
      </c>
      <c r="H16" s="13">
        <v>699.78</v>
      </c>
      <c r="I16" s="14">
        <v>2500.0</v>
      </c>
      <c r="J16" s="15">
        <v>204000.0</v>
      </c>
      <c r="K16" s="14">
        <v>135.0</v>
      </c>
      <c r="L16" s="5" t="s">
        <v>36</v>
      </c>
      <c r="M16" s="14">
        <v>1.5</v>
      </c>
      <c r="N16" s="14">
        <v>1134.0</v>
      </c>
      <c r="O16" s="14">
        <v>0.12</v>
      </c>
      <c r="P16" s="14">
        <v>1600.0</v>
      </c>
      <c r="Q16" s="14">
        <v>0.85</v>
      </c>
      <c r="R16" s="16">
        <v>2.0E-9</v>
      </c>
      <c r="S16" s="16">
        <v>2.1563E-4</v>
      </c>
      <c r="T16" s="16">
        <v>1.7896E-5</v>
      </c>
      <c r="U16" s="14">
        <f t="shared" si="1"/>
        <v>0.1508935614</v>
      </c>
      <c r="V16" s="14">
        <f t="shared" si="2"/>
        <v>20.294064</v>
      </c>
      <c r="W16" s="14">
        <f t="shared" si="3"/>
        <v>3772.339035</v>
      </c>
      <c r="X16" s="14">
        <v>5.1</v>
      </c>
      <c r="Y16" s="14">
        <v>9.92</v>
      </c>
      <c r="Z16" s="17">
        <v>1560.0</v>
      </c>
      <c r="AA16" s="15">
        <v>3755.2</v>
      </c>
      <c r="AB16" s="17">
        <v>1580.0</v>
      </c>
      <c r="AC16" s="15">
        <v>3794.7</v>
      </c>
      <c r="AD16" s="14">
        <f t="shared" si="4"/>
        <v>1568.677992</v>
      </c>
      <c r="AE16" s="17">
        <v>2120.0</v>
      </c>
      <c r="AF16" s="15">
        <v>4791.9</v>
      </c>
      <c r="AG16" s="17">
        <v>2140.0</v>
      </c>
      <c r="AH16" s="15">
        <v>4826.2</v>
      </c>
      <c r="AI16" s="14">
        <f t="shared" si="5"/>
        <v>2132.151041</v>
      </c>
      <c r="AJ16" s="17">
        <v>1660.0</v>
      </c>
      <c r="AK16" s="15">
        <v>4.7011</v>
      </c>
      <c r="AL16" s="17">
        <v>1680.0</v>
      </c>
      <c r="AM16" s="15">
        <v>5.1689</v>
      </c>
      <c r="AN16" s="14">
        <f t="shared" si="6"/>
        <v>1677.054297</v>
      </c>
      <c r="AO16" s="17">
        <v>1960.0</v>
      </c>
      <c r="AP16" s="15">
        <v>9.6987</v>
      </c>
      <c r="AQ16" s="17">
        <v>1980.0</v>
      </c>
      <c r="AR16" s="15">
        <v>9.9291</v>
      </c>
      <c r="AS16" s="14">
        <f t="shared" si="7"/>
        <v>1979.210069</v>
      </c>
      <c r="AT16" s="19">
        <v>0.0087804</v>
      </c>
      <c r="AU16" s="19">
        <v>7.4633</v>
      </c>
      <c r="AV16" s="14">
        <f t="shared" si="8"/>
        <v>1677.054297</v>
      </c>
    </row>
    <row r="17">
      <c r="A17" s="5">
        <v>14.0</v>
      </c>
      <c r="B17" s="5">
        <v>2.0</v>
      </c>
      <c r="C17" s="13">
        <v>294.15</v>
      </c>
      <c r="D17" s="5">
        <v>2.0</v>
      </c>
      <c r="E17" s="13">
        <v>5.0</v>
      </c>
      <c r="F17" s="5" t="s">
        <v>16</v>
      </c>
      <c r="G17" s="5" t="s">
        <v>17</v>
      </c>
      <c r="H17" s="13">
        <v>745.35</v>
      </c>
      <c r="I17" s="14">
        <v>2500.0</v>
      </c>
      <c r="J17" s="15">
        <v>204000.0</v>
      </c>
      <c r="K17" s="14">
        <v>360.0</v>
      </c>
      <c r="L17" s="5" t="s">
        <v>36</v>
      </c>
      <c r="M17" s="14">
        <v>1.5</v>
      </c>
      <c r="N17" s="14">
        <v>1134.0</v>
      </c>
      <c r="O17" s="14">
        <v>0.12</v>
      </c>
      <c r="P17" s="14">
        <v>1600.0</v>
      </c>
      <c r="Q17" s="14">
        <v>0.85</v>
      </c>
      <c r="R17" s="16">
        <v>2.0E-9</v>
      </c>
      <c r="S17" s="16">
        <v>2.1563E-4</v>
      </c>
      <c r="T17" s="16">
        <v>1.7896E-5</v>
      </c>
      <c r="U17" s="14">
        <f t="shared" si="1"/>
        <v>0.1607198205</v>
      </c>
      <c r="V17" s="14">
        <f t="shared" si="2"/>
        <v>20.294064</v>
      </c>
      <c r="W17" s="14">
        <f t="shared" si="3"/>
        <v>4017.995513</v>
      </c>
      <c r="X17" s="14">
        <v>5.1</v>
      </c>
      <c r="Y17" s="14">
        <v>9.92</v>
      </c>
      <c r="Z17" s="17">
        <v>1640.0</v>
      </c>
      <c r="AA17" s="15">
        <v>3988.5</v>
      </c>
      <c r="AB17" s="17">
        <v>1660.0</v>
      </c>
      <c r="AC17" s="15">
        <v>4028.5</v>
      </c>
      <c r="AD17" s="14">
        <f t="shared" si="4"/>
        <v>1654.747756</v>
      </c>
      <c r="AE17" s="17">
        <v>2200.0</v>
      </c>
      <c r="AF17" s="15">
        <v>5036.3</v>
      </c>
      <c r="AG17" s="17">
        <v>2220.0</v>
      </c>
      <c r="AH17" s="15">
        <v>5071.2</v>
      </c>
      <c r="AI17" s="14">
        <f t="shared" si="5"/>
        <v>2212.662185</v>
      </c>
      <c r="AJ17" s="17">
        <v>1760.0</v>
      </c>
      <c r="AK17" s="15">
        <v>5.0329</v>
      </c>
      <c r="AL17" s="17">
        <v>1780.0</v>
      </c>
      <c r="AM17" s="15">
        <v>5.4777</v>
      </c>
      <c r="AN17" s="14">
        <f t="shared" si="6"/>
        <v>1763.017086</v>
      </c>
      <c r="AO17" s="17">
        <v>2060.0</v>
      </c>
      <c r="AP17" s="15">
        <v>9.8654</v>
      </c>
      <c r="AQ17" s="17">
        <v>2080.0</v>
      </c>
      <c r="AR17" s="15">
        <v>10.091</v>
      </c>
      <c r="AS17" s="14">
        <f t="shared" si="7"/>
        <v>2064.840426</v>
      </c>
      <c r="AT17" s="19">
        <v>0.006935</v>
      </c>
      <c r="AU17" s="19">
        <v>5.8947</v>
      </c>
      <c r="AV17" s="14">
        <f t="shared" si="8"/>
        <v>1763.017086</v>
      </c>
    </row>
    <row r="18">
      <c r="A18" s="5">
        <v>15.0</v>
      </c>
      <c r="B18" s="5">
        <v>2.0</v>
      </c>
      <c r="C18" s="13">
        <v>294.15</v>
      </c>
      <c r="D18" s="5">
        <v>2.0</v>
      </c>
      <c r="E18" s="13">
        <v>5.0</v>
      </c>
      <c r="F18" s="5" t="s">
        <v>19</v>
      </c>
      <c r="G18" s="5" t="s">
        <v>20</v>
      </c>
      <c r="H18" s="13">
        <v>778.87</v>
      </c>
      <c r="I18" s="14">
        <v>2500.0</v>
      </c>
      <c r="J18" s="15">
        <v>204000.0</v>
      </c>
      <c r="K18" s="14">
        <v>90.0</v>
      </c>
      <c r="L18" s="5" t="s">
        <v>36</v>
      </c>
      <c r="M18" s="14">
        <v>1.5</v>
      </c>
      <c r="N18" s="14">
        <v>1134.0</v>
      </c>
      <c r="O18" s="14">
        <v>0.12</v>
      </c>
      <c r="P18" s="14">
        <v>1600.0</v>
      </c>
      <c r="Q18" s="14">
        <v>0.85</v>
      </c>
      <c r="R18" s="16">
        <v>2.0E-9</v>
      </c>
      <c r="S18" s="16">
        <v>2.1563E-4</v>
      </c>
      <c r="T18" s="16">
        <v>1.7896E-5</v>
      </c>
      <c r="U18" s="14">
        <f t="shared" si="1"/>
        <v>0.1679477381</v>
      </c>
      <c r="V18" s="14">
        <f t="shared" si="2"/>
        <v>20.294064</v>
      </c>
      <c r="W18" s="14">
        <f t="shared" si="3"/>
        <v>4198.693453</v>
      </c>
      <c r="X18" s="14">
        <v>5.1</v>
      </c>
      <c r="Y18" s="14">
        <v>9.92</v>
      </c>
      <c r="Z18" s="17">
        <v>1700.0</v>
      </c>
      <c r="AA18" s="15">
        <v>4159.5</v>
      </c>
      <c r="AB18" s="17">
        <v>1720.0</v>
      </c>
      <c r="AC18" s="15">
        <v>4199.6</v>
      </c>
      <c r="AD18" s="14">
        <f t="shared" si="4"/>
        <v>1719.547857</v>
      </c>
      <c r="AE18" s="17">
        <v>2280.0</v>
      </c>
      <c r="AF18" s="15">
        <v>5237.1</v>
      </c>
      <c r="AG18" s="17">
        <v>2300.0</v>
      </c>
      <c r="AH18" s="15">
        <v>5272.2</v>
      </c>
      <c r="AI18" s="14">
        <f t="shared" si="5"/>
        <v>2281.13587</v>
      </c>
      <c r="AJ18" s="17">
        <v>1820.0</v>
      </c>
      <c r="AK18" s="15">
        <v>4.924</v>
      </c>
      <c r="AL18" s="17">
        <v>1840.0</v>
      </c>
      <c r="AM18" s="15">
        <v>5.3757</v>
      </c>
      <c r="AN18" s="14">
        <f t="shared" si="6"/>
        <v>1827.792783</v>
      </c>
      <c r="AO18" s="17">
        <v>2120.0</v>
      </c>
      <c r="AP18" s="15">
        <v>9.7619</v>
      </c>
      <c r="AQ18" s="17">
        <v>2140.0</v>
      </c>
      <c r="AR18" s="15">
        <v>9.9893</v>
      </c>
      <c r="AS18" s="14">
        <f t="shared" si="7"/>
        <v>2133.905013</v>
      </c>
      <c r="AT18" s="19">
        <v>0.0052158</v>
      </c>
      <c r="AU18" s="19">
        <v>4.4334</v>
      </c>
      <c r="AV18" s="14">
        <f t="shared" si="8"/>
        <v>1827.792783</v>
      </c>
    </row>
    <row r="19">
      <c r="A19" s="5">
        <v>16.0</v>
      </c>
      <c r="B19" s="5">
        <v>2.0</v>
      </c>
      <c r="C19" s="13">
        <v>294.15</v>
      </c>
      <c r="D19" s="5">
        <v>3.0</v>
      </c>
      <c r="E19" s="13">
        <v>8.0</v>
      </c>
      <c r="F19" s="5" t="s">
        <v>12</v>
      </c>
      <c r="G19" s="5" t="s">
        <v>13</v>
      </c>
      <c r="H19" s="13">
        <v>699.78</v>
      </c>
      <c r="I19" s="14">
        <v>2500.0</v>
      </c>
      <c r="J19" s="15">
        <v>204000.0</v>
      </c>
      <c r="K19" s="14">
        <v>135.0</v>
      </c>
      <c r="L19" s="5" t="s">
        <v>36</v>
      </c>
      <c r="M19" s="14">
        <v>1.5</v>
      </c>
      <c r="N19" s="14">
        <v>1134.0</v>
      </c>
      <c r="O19" s="14">
        <v>0.12</v>
      </c>
      <c r="P19" s="14">
        <v>1600.0</v>
      </c>
      <c r="Q19" s="14">
        <v>0.85</v>
      </c>
      <c r="R19" s="16">
        <v>2.0E-9</v>
      </c>
      <c r="S19" s="16">
        <v>2.1563E-4</v>
      </c>
      <c r="T19" s="16">
        <v>1.7896E-5</v>
      </c>
      <c r="U19" s="14">
        <f t="shared" si="1"/>
        <v>0.1508935614</v>
      </c>
      <c r="V19" s="14">
        <f t="shared" si="2"/>
        <v>20.294064</v>
      </c>
      <c r="W19" s="14">
        <f t="shared" si="3"/>
        <v>3772.339035</v>
      </c>
      <c r="X19" s="14">
        <v>5.1</v>
      </c>
      <c r="Y19" s="14">
        <v>9.92</v>
      </c>
      <c r="Z19" s="17">
        <v>1020.0</v>
      </c>
      <c r="AA19" s="15">
        <v>3739.8</v>
      </c>
      <c r="AB19" s="17">
        <v>1040.0</v>
      </c>
      <c r="AC19" s="15">
        <v>3799.8</v>
      </c>
      <c r="AD19" s="14">
        <f t="shared" si="4"/>
        <v>1030.846345</v>
      </c>
      <c r="AE19" s="17">
        <v>1400.0</v>
      </c>
      <c r="AF19" s="15">
        <v>4807.4</v>
      </c>
      <c r="AG19" s="17">
        <v>1420.0</v>
      </c>
      <c r="AH19" s="15">
        <v>4859.4</v>
      </c>
      <c r="AI19" s="14">
        <f t="shared" si="5"/>
        <v>1402.053475</v>
      </c>
      <c r="AJ19" s="17">
        <v>1120.0</v>
      </c>
      <c r="AK19" s="15">
        <v>4.6524</v>
      </c>
      <c r="AL19" s="17">
        <v>1140.0</v>
      </c>
      <c r="AM19" s="15">
        <v>5.1248</v>
      </c>
      <c r="AN19" s="14">
        <f t="shared" si="6"/>
        <v>1138.950042</v>
      </c>
      <c r="AO19" s="22">
        <v>1440.0</v>
      </c>
      <c r="AP19" s="22">
        <v>9.8568</v>
      </c>
      <c r="AQ19" s="22">
        <v>1460.0</v>
      </c>
      <c r="AR19" s="22">
        <v>10.08</v>
      </c>
      <c r="AS19" s="14">
        <f t="shared" si="7"/>
        <v>1445.663082</v>
      </c>
      <c r="AT19" s="19">
        <v>0.014968</v>
      </c>
      <c r="AU19" s="19">
        <v>12.723</v>
      </c>
      <c r="AV19" s="14">
        <f t="shared" si="8"/>
        <v>1138.950042</v>
      </c>
    </row>
    <row r="20">
      <c r="A20" s="5">
        <v>17.0</v>
      </c>
      <c r="B20" s="5">
        <v>2.0</v>
      </c>
      <c r="C20" s="13">
        <v>294.15</v>
      </c>
      <c r="D20" s="5">
        <v>3.0</v>
      </c>
      <c r="E20" s="13">
        <v>8.0</v>
      </c>
      <c r="F20" s="5" t="s">
        <v>16</v>
      </c>
      <c r="G20" s="5" t="s">
        <v>17</v>
      </c>
      <c r="H20" s="13">
        <v>745.35</v>
      </c>
      <c r="I20" s="14">
        <v>2500.0</v>
      </c>
      <c r="J20" s="15">
        <v>204000.0</v>
      </c>
      <c r="K20" s="14">
        <v>360.0</v>
      </c>
      <c r="L20" s="5" t="s">
        <v>36</v>
      </c>
      <c r="M20" s="14">
        <v>1.5</v>
      </c>
      <c r="N20" s="14">
        <v>1134.0</v>
      </c>
      <c r="O20" s="14">
        <v>0.12</v>
      </c>
      <c r="P20" s="14">
        <v>1600.0</v>
      </c>
      <c r="Q20" s="14">
        <v>0.85</v>
      </c>
      <c r="R20" s="16">
        <v>2.0E-9</v>
      </c>
      <c r="S20" s="16">
        <v>2.1563E-4</v>
      </c>
      <c r="T20" s="16">
        <v>1.7896E-5</v>
      </c>
      <c r="U20" s="14">
        <f t="shared" si="1"/>
        <v>0.1607198205</v>
      </c>
      <c r="V20" s="14">
        <f t="shared" si="2"/>
        <v>20.294064</v>
      </c>
      <c r="W20" s="14">
        <f t="shared" si="3"/>
        <v>4017.995513</v>
      </c>
      <c r="X20" s="14">
        <v>5.1</v>
      </c>
      <c r="Y20" s="14">
        <v>9.92</v>
      </c>
      <c r="Z20" s="17">
        <v>1080.0</v>
      </c>
      <c r="AA20" s="15">
        <v>3982.9</v>
      </c>
      <c r="AB20" s="17">
        <v>1100.0</v>
      </c>
      <c r="AC20" s="15">
        <v>4043.6</v>
      </c>
      <c r="AD20" s="14">
        <f t="shared" si="4"/>
        <v>1091.563596</v>
      </c>
      <c r="AE20" s="17">
        <v>1440.0</v>
      </c>
      <c r="AF20" s="15">
        <v>5008.1</v>
      </c>
      <c r="AG20" s="17">
        <v>1460.0</v>
      </c>
      <c r="AH20" s="15">
        <v>5061.1</v>
      </c>
      <c r="AI20" s="14">
        <f t="shared" si="5"/>
        <v>1458.979439</v>
      </c>
      <c r="AJ20" s="17">
        <v>1180.0</v>
      </c>
      <c r="AK20" s="15">
        <v>4.6344</v>
      </c>
      <c r="AL20" s="17">
        <v>1200.0</v>
      </c>
      <c r="AM20" s="15">
        <v>5.1082</v>
      </c>
      <c r="AN20" s="14">
        <f t="shared" si="6"/>
        <v>1199.653862</v>
      </c>
      <c r="AO20" s="17">
        <v>1500.0</v>
      </c>
      <c r="AP20" s="15">
        <v>9.8551</v>
      </c>
      <c r="AQ20" s="17">
        <v>1520.0</v>
      </c>
      <c r="AR20" s="15">
        <v>10.079</v>
      </c>
      <c r="AS20" s="14">
        <f t="shared" si="7"/>
        <v>1505.797231</v>
      </c>
      <c r="AT20" s="19">
        <v>0.014539</v>
      </c>
      <c r="AU20" s="19">
        <v>12.358</v>
      </c>
      <c r="AV20" s="14">
        <f t="shared" si="8"/>
        <v>1199.653862</v>
      </c>
    </row>
    <row r="21" ht="15.75" customHeight="1">
      <c r="A21" s="5">
        <v>18.0</v>
      </c>
      <c r="B21" s="5">
        <v>2.0</v>
      </c>
      <c r="C21" s="13">
        <v>294.15</v>
      </c>
      <c r="D21" s="5">
        <v>3.0</v>
      </c>
      <c r="E21" s="13">
        <v>8.0</v>
      </c>
      <c r="F21" s="5" t="s">
        <v>19</v>
      </c>
      <c r="G21" s="5" t="s">
        <v>20</v>
      </c>
      <c r="H21" s="13">
        <v>778.87</v>
      </c>
      <c r="I21" s="14">
        <v>2500.0</v>
      </c>
      <c r="J21" s="15">
        <v>204000.0</v>
      </c>
      <c r="K21" s="14">
        <v>90.0</v>
      </c>
      <c r="L21" s="5" t="s">
        <v>36</v>
      </c>
      <c r="M21" s="14">
        <v>1.5</v>
      </c>
      <c r="N21" s="14">
        <v>1134.0</v>
      </c>
      <c r="O21" s="14">
        <v>0.12</v>
      </c>
      <c r="P21" s="14">
        <v>1600.0</v>
      </c>
      <c r="Q21" s="14">
        <v>0.85</v>
      </c>
      <c r="R21" s="16">
        <v>2.0E-9</v>
      </c>
      <c r="S21" s="16">
        <v>2.1563E-4</v>
      </c>
      <c r="T21" s="16">
        <v>1.7896E-5</v>
      </c>
      <c r="U21" s="14">
        <f t="shared" si="1"/>
        <v>0.1679477381</v>
      </c>
      <c r="V21" s="14">
        <f t="shared" si="2"/>
        <v>20.294064</v>
      </c>
      <c r="W21" s="14">
        <f t="shared" si="3"/>
        <v>4198.693453</v>
      </c>
      <c r="X21" s="14">
        <v>5.1</v>
      </c>
      <c r="Y21" s="14">
        <v>9.92</v>
      </c>
      <c r="Z21" s="17">
        <v>1120.0</v>
      </c>
      <c r="AA21" s="15">
        <v>4146.0</v>
      </c>
      <c r="AB21" s="17">
        <v>1140.0</v>
      </c>
      <c r="AC21" s="15">
        <v>4207.0</v>
      </c>
      <c r="AD21" s="14">
        <f t="shared" si="4"/>
        <v>1137.276542</v>
      </c>
      <c r="AE21" s="17">
        <v>1500.0</v>
      </c>
      <c r="AF21" s="15">
        <v>5231.8</v>
      </c>
      <c r="AG21" s="17">
        <v>1520.0</v>
      </c>
      <c r="AH21" s="15">
        <v>5284.9</v>
      </c>
      <c r="AI21" s="14">
        <f t="shared" si="5"/>
        <v>1502.747063</v>
      </c>
      <c r="AJ21" s="17">
        <v>1240.0</v>
      </c>
      <c r="AK21" s="15">
        <v>4.9769</v>
      </c>
      <c r="AL21" s="17">
        <v>1260.0</v>
      </c>
      <c r="AM21" s="15">
        <v>5.425</v>
      </c>
      <c r="AN21" s="14">
        <f t="shared" si="6"/>
        <v>1245.494309</v>
      </c>
      <c r="AO21" s="17">
        <v>1540.0</v>
      </c>
      <c r="AP21" s="15">
        <v>9.7854</v>
      </c>
      <c r="AQ21" s="17">
        <v>1560.0</v>
      </c>
      <c r="AR21" s="15">
        <v>10.012</v>
      </c>
      <c r="AS21" s="14">
        <f t="shared" si="7"/>
        <v>1551.879965</v>
      </c>
      <c r="AT21" s="19">
        <v>0.014228</v>
      </c>
      <c r="AU21" s="19">
        <v>12.093</v>
      </c>
      <c r="AV21" s="14">
        <f t="shared" si="8"/>
        <v>1245.494309</v>
      </c>
    </row>
    <row r="22" ht="15.75" customHeight="1">
      <c r="A22" s="5">
        <v>19.0</v>
      </c>
      <c r="B22" s="5">
        <v>3.0</v>
      </c>
      <c r="C22" s="13">
        <v>297.15</v>
      </c>
      <c r="D22" s="5">
        <v>1.0</v>
      </c>
      <c r="E22" s="13">
        <v>3.0</v>
      </c>
      <c r="F22" s="5" t="s">
        <v>12</v>
      </c>
      <c r="G22" s="5" t="s">
        <v>13</v>
      </c>
      <c r="H22" s="13">
        <v>699.78</v>
      </c>
      <c r="I22" s="14">
        <v>2500.0</v>
      </c>
      <c r="J22" s="15">
        <v>204000.0</v>
      </c>
      <c r="K22" s="14">
        <v>135.0</v>
      </c>
      <c r="L22" s="5" t="s">
        <v>36</v>
      </c>
      <c r="M22" s="14">
        <v>1.5</v>
      </c>
      <c r="N22" s="14">
        <v>1134.0</v>
      </c>
      <c r="O22" s="14">
        <v>0.12</v>
      </c>
      <c r="P22" s="14">
        <v>1600.0</v>
      </c>
      <c r="Q22" s="14">
        <v>0.85</v>
      </c>
      <c r="R22" s="16">
        <v>2.0E-9</v>
      </c>
      <c r="S22" s="16">
        <v>2.1563E-4</v>
      </c>
      <c r="T22" s="16">
        <v>1.7896E-5</v>
      </c>
      <c r="U22" s="14">
        <f t="shared" si="1"/>
        <v>0.1508935614</v>
      </c>
      <c r="V22" s="14">
        <f t="shared" si="2"/>
        <v>20.294064</v>
      </c>
      <c r="W22" s="14">
        <f t="shared" si="3"/>
        <v>3772.339035</v>
      </c>
      <c r="X22" s="14">
        <v>5.1</v>
      </c>
      <c r="Y22" s="14">
        <v>9.92</v>
      </c>
      <c r="Z22" s="17">
        <v>2220.0</v>
      </c>
      <c r="AA22" s="15">
        <v>3756.5</v>
      </c>
      <c r="AB22" s="17">
        <v>2240.0</v>
      </c>
      <c r="AC22" s="15">
        <v>3784.9</v>
      </c>
      <c r="AD22" s="14">
        <f t="shared" si="4"/>
        <v>2231.15425</v>
      </c>
      <c r="AE22" s="17">
        <v>3000.0</v>
      </c>
      <c r="AF22" s="15">
        <v>4797.4</v>
      </c>
      <c r="AG22" s="17">
        <v>3020.0</v>
      </c>
      <c r="AH22" s="15">
        <v>4822.4</v>
      </c>
      <c r="AI22" s="14">
        <f t="shared" si="5"/>
        <v>3012.271228</v>
      </c>
      <c r="AJ22" s="20">
        <v>2320.0</v>
      </c>
      <c r="AK22" s="21">
        <v>4.6402</v>
      </c>
      <c r="AL22" s="20">
        <v>2340.0</v>
      </c>
      <c r="AM22" s="21">
        <v>5.113</v>
      </c>
      <c r="AN22" s="18">
        <f t="shared" si="6"/>
        <v>2339.450085</v>
      </c>
      <c r="AO22" s="17">
        <v>2640.0</v>
      </c>
      <c r="AP22" s="15">
        <v>9.9027</v>
      </c>
      <c r="AQ22" s="17">
        <v>2660.0</v>
      </c>
      <c r="AR22" s="15">
        <v>10.125</v>
      </c>
      <c r="AS22" s="14">
        <f t="shared" si="7"/>
        <v>2641.556455</v>
      </c>
      <c r="AT22" s="19">
        <v>0.0</v>
      </c>
      <c r="AU22" s="19">
        <v>0.0</v>
      </c>
      <c r="AV22" s="14">
        <f t="shared" si="8"/>
        <v>2339.450085</v>
      </c>
    </row>
    <row r="23" ht="15.75" customHeight="1">
      <c r="A23" s="5">
        <v>20.0</v>
      </c>
      <c r="B23" s="5">
        <v>3.0</v>
      </c>
      <c r="C23" s="13">
        <v>297.15</v>
      </c>
      <c r="D23" s="5">
        <v>1.0</v>
      </c>
      <c r="E23" s="13">
        <v>3.0</v>
      </c>
      <c r="F23" s="5" t="s">
        <v>16</v>
      </c>
      <c r="G23" s="5" t="s">
        <v>17</v>
      </c>
      <c r="H23" s="13">
        <v>745.35</v>
      </c>
      <c r="I23" s="14">
        <v>2500.0</v>
      </c>
      <c r="J23" s="15">
        <v>204000.0</v>
      </c>
      <c r="K23" s="14">
        <v>360.0</v>
      </c>
      <c r="L23" s="5" t="s">
        <v>36</v>
      </c>
      <c r="M23" s="14">
        <v>1.5</v>
      </c>
      <c r="N23" s="14">
        <v>1134.0</v>
      </c>
      <c r="O23" s="14">
        <v>0.12</v>
      </c>
      <c r="P23" s="14">
        <v>1600.0</v>
      </c>
      <c r="Q23" s="14">
        <v>0.85</v>
      </c>
      <c r="R23" s="16">
        <v>2.0E-9</v>
      </c>
      <c r="S23" s="16">
        <v>2.1563E-4</v>
      </c>
      <c r="T23" s="16">
        <v>1.7896E-5</v>
      </c>
      <c r="U23" s="14">
        <f t="shared" si="1"/>
        <v>0.1607198205</v>
      </c>
      <c r="V23" s="14">
        <f t="shared" si="2"/>
        <v>20.294064</v>
      </c>
      <c r="W23" s="14">
        <f t="shared" si="3"/>
        <v>4017.995513</v>
      </c>
      <c r="X23" s="14">
        <v>5.1</v>
      </c>
      <c r="Y23" s="14">
        <v>9.92</v>
      </c>
      <c r="Z23" s="17">
        <v>2380.0</v>
      </c>
      <c r="AA23" s="15">
        <v>4012.7</v>
      </c>
      <c r="AB23" s="17">
        <v>2400.0</v>
      </c>
      <c r="AC23" s="15">
        <v>4041.2</v>
      </c>
      <c r="AD23" s="14">
        <f t="shared" si="4"/>
        <v>2383.716149</v>
      </c>
      <c r="AE23" s="17">
        <v>3140.0</v>
      </c>
      <c r="AF23" s="15">
        <v>5035.3</v>
      </c>
      <c r="AG23" s="17">
        <v>3160.0</v>
      </c>
      <c r="AH23" s="15">
        <v>5060.6</v>
      </c>
      <c r="AI23" s="14">
        <f t="shared" si="5"/>
        <v>3158.257322</v>
      </c>
      <c r="AJ23" s="17">
        <v>2480.0</v>
      </c>
      <c r="AK23" s="15">
        <v>4.8252</v>
      </c>
      <c r="AL23" s="17">
        <v>2500.0</v>
      </c>
      <c r="AM23" s="15">
        <v>5.2846</v>
      </c>
      <c r="AN23" s="14">
        <f t="shared" si="6"/>
        <v>2491.963431</v>
      </c>
      <c r="AO23" s="17">
        <v>2780.0</v>
      </c>
      <c r="AP23" s="15">
        <v>9.7091</v>
      </c>
      <c r="AQ23" s="17">
        <v>2800.0</v>
      </c>
      <c r="AR23" s="15">
        <v>9.9375</v>
      </c>
      <c r="AS23" s="14">
        <f t="shared" si="7"/>
        <v>2798.467601</v>
      </c>
      <c r="AT23" s="19">
        <v>0.0</v>
      </c>
      <c r="AU23" s="19">
        <v>0.0</v>
      </c>
      <c r="AV23" s="14">
        <f t="shared" si="8"/>
        <v>2491.963431</v>
      </c>
    </row>
    <row r="24" ht="15.75" customHeight="1">
      <c r="A24" s="5">
        <v>21.0</v>
      </c>
      <c r="B24" s="5">
        <v>3.0</v>
      </c>
      <c r="C24" s="13">
        <v>297.15</v>
      </c>
      <c r="D24" s="5">
        <v>1.0</v>
      </c>
      <c r="E24" s="13">
        <v>3.0</v>
      </c>
      <c r="F24" s="5" t="s">
        <v>19</v>
      </c>
      <c r="G24" s="5" t="s">
        <v>20</v>
      </c>
      <c r="H24" s="13">
        <v>778.87</v>
      </c>
      <c r="I24" s="14">
        <v>2500.0</v>
      </c>
      <c r="J24" s="15">
        <v>204000.0</v>
      </c>
      <c r="K24" s="14">
        <v>90.0</v>
      </c>
      <c r="L24" s="5" t="s">
        <v>36</v>
      </c>
      <c r="M24" s="14">
        <v>1.5</v>
      </c>
      <c r="N24" s="14">
        <v>1134.0</v>
      </c>
      <c r="O24" s="14">
        <v>0.12</v>
      </c>
      <c r="P24" s="14">
        <v>1600.0</v>
      </c>
      <c r="Q24" s="14">
        <v>0.85</v>
      </c>
      <c r="R24" s="16">
        <v>2.0E-9</v>
      </c>
      <c r="S24" s="16">
        <v>2.1563E-4</v>
      </c>
      <c r="T24" s="16">
        <v>1.7896E-5</v>
      </c>
      <c r="U24" s="14">
        <f t="shared" si="1"/>
        <v>0.1679477381</v>
      </c>
      <c r="V24" s="14">
        <f t="shared" si="2"/>
        <v>20.294064</v>
      </c>
      <c r="W24" s="14">
        <f t="shared" si="3"/>
        <v>4198.693453</v>
      </c>
      <c r="X24" s="14">
        <v>5.1</v>
      </c>
      <c r="Y24" s="14">
        <v>9.92</v>
      </c>
      <c r="Z24" s="17">
        <v>2480.0</v>
      </c>
      <c r="AA24" s="15">
        <v>4178.7</v>
      </c>
      <c r="AB24" s="17">
        <v>2500.0</v>
      </c>
      <c r="AC24" s="15">
        <v>4207.3</v>
      </c>
      <c r="AD24" s="14">
        <f t="shared" si="4"/>
        <v>2493.981435</v>
      </c>
      <c r="AE24" s="17">
        <v>3260.0</v>
      </c>
      <c r="AF24" s="15">
        <v>5233.8</v>
      </c>
      <c r="AG24" s="17">
        <v>3280.0</v>
      </c>
      <c r="AH24" s="15">
        <v>5259.3</v>
      </c>
      <c r="AI24" s="14">
        <f t="shared" si="5"/>
        <v>3264.151727</v>
      </c>
      <c r="AJ24" s="17">
        <v>2600.0</v>
      </c>
      <c r="AK24" s="15">
        <v>5.0497</v>
      </c>
      <c r="AL24" s="17">
        <v>2620.0</v>
      </c>
      <c r="AM24" s="15">
        <v>5.4927</v>
      </c>
      <c r="AN24" s="14">
        <f t="shared" si="6"/>
        <v>2602.27088</v>
      </c>
      <c r="AO24" s="17">
        <v>2900.0</v>
      </c>
      <c r="AP24" s="15">
        <v>9.8697</v>
      </c>
      <c r="AQ24" s="17">
        <v>2920.0</v>
      </c>
      <c r="AR24" s="15">
        <v>10.092</v>
      </c>
      <c r="AS24" s="14">
        <f t="shared" si="7"/>
        <v>2904.525416</v>
      </c>
      <c r="AT24" s="19">
        <v>0.0</v>
      </c>
      <c r="AU24" s="19">
        <v>0.0</v>
      </c>
      <c r="AV24" s="14">
        <f t="shared" si="8"/>
        <v>2602.27088</v>
      </c>
    </row>
    <row r="25" ht="15.75" customHeight="1">
      <c r="A25" s="5">
        <v>22.0</v>
      </c>
      <c r="B25" s="5">
        <v>3.0</v>
      </c>
      <c r="C25" s="13">
        <v>297.15</v>
      </c>
      <c r="D25" s="5">
        <v>2.0</v>
      </c>
      <c r="E25" s="13">
        <v>5.0</v>
      </c>
      <c r="F25" s="5" t="s">
        <v>12</v>
      </c>
      <c r="G25" s="5" t="s">
        <v>13</v>
      </c>
      <c r="H25" s="13">
        <v>699.78</v>
      </c>
      <c r="I25" s="14">
        <v>2500.0</v>
      </c>
      <c r="J25" s="15">
        <v>204000.0</v>
      </c>
      <c r="K25" s="14">
        <v>135.0</v>
      </c>
      <c r="L25" s="5" t="s">
        <v>36</v>
      </c>
      <c r="M25" s="14">
        <v>1.5</v>
      </c>
      <c r="N25" s="14">
        <v>1134.0</v>
      </c>
      <c r="O25" s="14">
        <v>0.12</v>
      </c>
      <c r="P25" s="14">
        <v>1600.0</v>
      </c>
      <c r="Q25" s="14">
        <v>0.85</v>
      </c>
      <c r="R25" s="16">
        <v>2.0E-9</v>
      </c>
      <c r="S25" s="16">
        <v>2.1563E-4</v>
      </c>
      <c r="T25" s="16">
        <v>1.7896E-5</v>
      </c>
      <c r="U25" s="14">
        <f t="shared" si="1"/>
        <v>0.1508935614</v>
      </c>
      <c r="V25" s="14">
        <f t="shared" si="2"/>
        <v>20.294064</v>
      </c>
      <c r="W25" s="14">
        <f t="shared" si="3"/>
        <v>3772.339035</v>
      </c>
      <c r="X25" s="14">
        <v>5.1</v>
      </c>
      <c r="Y25" s="14">
        <v>9.92</v>
      </c>
      <c r="Z25" s="17">
        <v>1420.0</v>
      </c>
      <c r="AA25" s="15">
        <v>3761.3</v>
      </c>
      <c r="AB25" s="17">
        <v>1440.0</v>
      </c>
      <c r="AC25" s="15">
        <v>3806.2</v>
      </c>
      <c r="AD25" s="14">
        <f t="shared" si="4"/>
        <v>1424.917165</v>
      </c>
      <c r="AE25" s="17">
        <v>1900.0</v>
      </c>
      <c r="AF25" s="15">
        <v>4786.8</v>
      </c>
      <c r="AG25" s="17">
        <v>1920.0</v>
      </c>
      <c r="AH25" s="15">
        <v>4827.0</v>
      </c>
      <c r="AI25" s="14">
        <f t="shared" si="5"/>
        <v>1912.904993</v>
      </c>
      <c r="AJ25" s="17">
        <v>1520.0</v>
      </c>
      <c r="AK25" s="15">
        <v>4.7917</v>
      </c>
      <c r="AL25" s="17">
        <v>1540.0</v>
      </c>
      <c r="AM25" s="15">
        <v>5.2535</v>
      </c>
      <c r="AN25" s="14">
        <f t="shared" si="6"/>
        <v>1533.3521</v>
      </c>
      <c r="AO25" s="17">
        <v>1820.0</v>
      </c>
      <c r="AP25" s="15">
        <v>9.7454</v>
      </c>
      <c r="AQ25" s="17">
        <v>1840.0</v>
      </c>
      <c r="AR25" s="15">
        <v>9.9758</v>
      </c>
      <c r="AS25" s="14">
        <f t="shared" si="7"/>
        <v>1835.15625</v>
      </c>
      <c r="AT25" s="19">
        <v>0.011183</v>
      </c>
      <c r="AU25" s="19">
        <v>9.5054</v>
      </c>
      <c r="AV25" s="14">
        <f t="shared" si="8"/>
        <v>1533.3521</v>
      </c>
    </row>
    <row r="26" ht="15.75" customHeight="1">
      <c r="A26" s="5">
        <v>23.0</v>
      </c>
      <c r="B26" s="5">
        <v>3.0</v>
      </c>
      <c r="C26" s="13">
        <v>297.15</v>
      </c>
      <c r="D26" s="5">
        <v>2.0</v>
      </c>
      <c r="E26" s="13">
        <v>5.0</v>
      </c>
      <c r="F26" s="5" t="s">
        <v>16</v>
      </c>
      <c r="G26" s="5" t="s">
        <v>17</v>
      </c>
      <c r="H26" s="13">
        <v>745.35</v>
      </c>
      <c r="I26" s="14">
        <v>2500.0</v>
      </c>
      <c r="J26" s="15">
        <v>204000.0</v>
      </c>
      <c r="K26" s="14">
        <v>360.0</v>
      </c>
      <c r="L26" s="5" t="s">
        <v>36</v>
      </c>
      <c r="M26" s="14">
        <v>1.5</v>
      </c>
      <c r="N26" s="14">
        <v>1134.0</v>
      </c>
      <c r="O26" s="14">
        <v>0.12</v>
      </c>
      <c r="P26" s="14">
        <v>1600.0</v>
      </c>
      <c r="Q26" s="14">
        <v>0.85</v>
      </c>
      <c r="R26" s="16">
        <v>2.0E-9</v>
      </c>
      <c r="S26" s="16">
        <v>2.1563E-4</v>
      </c>
      <c r="T26" s="16">
        <v>1.7896E-5</v>
      </c>
      <c r="U26" s="14">
        <f t="shared" si="1"/>
        <v>0.1607198205</v>
      </c>
      <c r="V26" s="14">
        <f t="shared" si="2"/>
        <v>20.294064</v>
      </c>
      <c r="W26" s="14">
        <f t="shared" si="3"/>
        <v>4017.995513</v>
      </c>
      <c r="X26" s="14">
        <v>5.1</v>
      </c>
      <c r="Y26" s="14">
        <v>9.92</v>
      </c>
      <c r="Z26" s="17">
        <v>1480.0</v>
      </c>
      <c r="AA26" s="15">
        <v>3979.0</v>
      </c>
      <c r="AB26" s="17">
        <v>1500.0</v>
      </c>
      <c r="AC26" s="15">
        <v>4024.7</v>
      </c>
      <c r="AD26" s="14">
        <f t="shared" si="4"/>
        <v>1497.06587</v>
      </c>
      <c r="AE26" s="17">
        <v>1960.0</v>
      </c>
      <c r="AF26" s="15">
        <v>5018.7</v>
      </c>
      <c r="AG26" s="17">
        <v>1980.0</v>
      </c>
      <c r="AH26" s="15">
        <v>5059.4</v>
      </c>
      <c r="AI26" s="14">
        <f t="shared" si="5"/>
        <v>1979.506394</v>
      </c>
      <c r="AJ26" s="17">
        <v>1600.0</v>
      </c>
      <c r="AK26" s="15">
        <v>4.9789</v>
      </c>
      <c r="AL26" s="17">
        <v>1620.0</v>
      </c>
      <c r="AM26" s="15">
        <v>5.4264</v>
      </c>
      <c r="AN26" s="14">
        <f t="shared" si="6"/>
        <v>1605.412291</v>
      </c>
      <c r="AO26" s="17">
        <v>1900.0</v>
      </c>
      <c r="AP26" s="15">
        <v>9.8366</v>
      </c>
      <c r="AQ26" s="17">
        <v>1920.0</v>
      </c>
      <c r="AR26" s="15">
        <v>10.062</v>
      </c>
      <c r="AS26" s="14">
        <f t="shared" si="7"/>
        <v>1907.400177</v>
      </c>
      <c r="AT26" s="19">
        <v>0.010069</v>
      </c>
      <c r="AU26" s="19">
        <v>8.5589</v>
      </c>
      <c r="AV26" s="14">
        <f t="shared" si="8"/>
        <v>1605.412291</v>
      </c>
    </row>
    <row r="27" ht="15.75" customHeight="1">
      <c r="A27" s="5">
        <v>24.0</v>
      </c>
      <c r="B27" s="5">
        <v>3.0</v>
      </c>
      <c r="C27" s="13">
        <v>297.15</v>
      </c>
      <c r="D27" s="5">
        <v>2.0</v>
      </c>
      <c r="E27" s="13">
        <v>5.0</v>
      </c>
      <c r="F27" s="5" t="s">
        <v>19</v>
      </c>
      <c r="G27" s="5" t="s">
        <v>20</v>
      </c>
      <c r="H27" s="13">
        <v>778.87</v>
      </c>
      <c r="I27" s="14">
        <v>2500.0</v>
      </c>
      <c r="J27" s="15">
        <v>204000.0</v>
      </c>
      <c r="K27" s="14">
        <v>90.0</v>
      </c>
      <c r="L27" s="5" t="s">
        <v>36</v>
      </c>
      <c r="M27" s="14">
        <v>1.5</v>
      </c>
      <c r="N27" s="14">
        <v>1134.0</v>
      </c>
      <c r="O27" s="14">
        <v>0.12</v>
      </c>
      <c r="P27" s="14">
        <v>1600.0</v>
      </c>
      <c r="Q27" s="14">
        <v>0.85</v>
      </c>
      <c r="R27" s="16">
        <v>2.0E-9</v>
      </c>
      <c r="S27" s="16">
        <v>2.1563E-4</v>
      </c>
      <c r="T27" s="16">
        <v>1.7896E-5</v>
      </c>
      <c r="U27" s="14">
        <f t="shared" si="1"/>
        <v>0.1679477381</v>
      </c>
      <c r="V27" s="14">
        <f t="shared" si="2"/>
        <v>20.294064</v>
      </c>
      <c r="W27" s="14">
        <f t="shared" si="3"/>
        <v>4198.693453</v>
      </c>
      <c r="X27" s="14">
        <v>5.1</v>
      </c>
      <c r="Y27" s="14">
        <v>9.92</v>
      </c>
      <c r="Z27" s="17">
        <v>1540.0</v>
      </c>
      <c r="AA27" s="15">
        <v>4175.0</v>
      </c>
      <c r="AB27" s="17">
        <v>1560.0</v>
      </c>
      <c r="AC27" s="15">
        <v>4220.9</v>
      </c>
      <c r="AD27" s="14">
        <f t="shared" si="4"/>
        <v>1550.323944</v>
      </c>
      <c r="AE27" s="17">
        <v>2020.0</v>
      </c>
      <c r="AF27" s="15">
        <v>5217.9</v>
      </c>
      <c r="AG27" s="17">
        <v>2040.0</v>
      </c>
      <c r="AH27" s="15">
        <v>5258.8</v>
      </c>
      <c r="AI27" s="14">
        <f t="shared" si="5"/>
        <v>2030.363546</v>
      </c>
      <c r="AJ27" s="17">
        <v>1640.0</v>
      </c>
      <c r="AK27" s="15">
        <v>4.6639</v>
      </c>
      <c r="AL27" s="17">
        <v>1660.0</v>
      </c>
      <c r="AM27" s="15">
        <v>5.135</v>
      </c>
      <c r="AN27" s="14">
        <f t="shared" si="6"/>
        <v>1658.514116</v>
      </c>
      <c r="AO27" s="17">
        <v>1960.0</v>
      </c>
      <c r="AP27" s="15">
        <v>9.9163</v>
      </c>
      <c r="AQ27" s="17">
        <v>1980.0</v>
      </c>
      <c r="AR27" s="15">
        <v>10.14</v>
      </c>
      <c r="AS27" s="14">
        <f t="shared" si="7"/>
        <v>1960.3308</v>
      </c>
      <c r="AT27" s="19">
        <v>0.0091327</v>
      </c>
      <c r="AU27" s="19">
        <v>7.7628</v>
      </c>
      <c r="AV27" s="14">
        <f t="shared" si="8"/>
        <v>1658.514116</v>
      </c>
    </row>
    <row r="28" ht="15.75" customHeight="1">
      <c r="A28" s="5">
        <v>25.0</v>
      </c>
      <c r="B28" s="5">
        <v>3.0</v>
      </c>
      <c r="C28" s="13">
        <v>297.15</v>
      </c>
      <c r="D28" s="5">
        <v>3.0</v>
      </c>
      <c r="E28" s="13">
        <v>8.0</v>
      </c>
      <c r="F28" s="5" t="s">
        <v>12</v>
      </c>
      <c r="G28" s="5" t="s">
        <v>13</v>
      </c>
      <c r="H28" s="13">
        <v>699.78</v>
      </c>
      <c r="I28" s="14">
        <v>2500.0</v>
      </c>
      <c r="J28" s="15">
        <v>204000.0</v>
      </c>
      <c r="K28" s="14">
        <v>135.0</v>
      </c>
      <c r="L28" s="5" t="s">
        <v>36</v>
      </c>
      <c r="M28" s="14">
        <v>1.5</v>
      </c>
      <c r="N28" s="14">
        <v>1134.0</v>
      </c>
      <c r="O28" s="14">
        <v>0.12</v>
      </c>
      <c r="P28" s="14">
        <v>1600.0</v>
      </c>
      <c r="Q28" s="14">
        <v>0.85</v>
      </c>
      <c r="R28" s="16">
        <v>2.0E-9</v>
      </c>
      <c r="S28" s="16">
        <v>2.1563E-4</v>
      </c>
      <c r="T28" s="16">
        <v>1.7896E-5</v>
      </c>
      <c r="U28" s="14">
        <f t="shared" si="1"/>
        <v>0.1508935614</v>
      </c>
      <c r="V28" s="14">
        <f t="shared" si="2"/>
        <v>20.294064</v>
      </c>
      <c r="W28" s="14">
        <f t="shared" si="3"/>
        <v>3772.339035</v>
      </c>
      <c r="X28" s="14">
        <v>5.1</v>
      </c>
      <c r="Y28" s="14">
        <v>9.92</v>
      </c>
      <c r="Z28" s="17">
        <v>940.0</v>
      </c>
      <c r="AA28" s="15">
        <v>3769.4</v>
      </c>
      <c r="AB28" s="17">
        <v>960.0</v>
      </c>
      <c r="AC28" s="15">
        <v>3833.9</v>
      </c>
      <c r="AD28" s="14">
        <f t="shared" si="4"/>
        <v>940.9113287</v>
      </c>
      <c r="AE28" s="17">
        <v>1260.0</v>
      </c>
      <c r="AF28" s="15">
        <v>4781.7</v>
      </c>
      <c r="AG28" s="17">
        <v>1280.0</v>
      </c>
      <c r="AH28" s="15">
        <v>4842.0</v>
      </c>
      <c r="AI28" s="14">
        <f t="shared" si="5"/>
        <v>1270.294871</v>
      </c>
      <c r="AJ28" s="17">
        <v>1040.0</v>
      </c>
      <c r="AK28" s="15">
        <v>4.889</v>
      </c>
      <c r="AL28" s="17">
        <v>1060.0</v>
      </c>
      <c r="AM28" s="15">
        <v>5.3439</v>
      </c>
      <c r="AN28" s="14">
        <f t="shared" si="6"/>
        <v>1049.276764</v>
      </c>
      <c r="AO28" s="17">
        <v>1340.0</v>
      </c>
      <c r="AP28" s="15">
        <v>9.7936</v>
      </c>
      <c r="AQ28" s="17">
        <v>1360.0</v>
      </c>
      <c r="AR28" s="15">
        <v>10.022</v>
      </c>
      <c r="AS28" s="14">
        <f t="shared" si="7"/>
        <v>1351.068301</v>
      </c>
      <c r="AT28" s="19">
        <v>0.015513</v>
      </c>
      <c r="AU28" s="19">
        <v>13.186</v>
      </c>
      <c r="AV28" s="14">
        <f t="shared" si="8"/>
        <v>1049.276764</v>
      </c>
    </row>
    <row r="29" ht="15.75" customHeight="1">
      <c r="A29" s="5">
        <v>26.0</v>
      </c>
      <c r="B29" s="5">
        <v>3.0</v>
      </c>
      <c r="C29" s="13">
        <v>297.15</v>
      </c>
      <c r="D29" s="5">
        <v>3.0</v>
      </c>
      <c r="E29" s="13">
        <v>8.0</v>
      </c>
      <c r="F29" s="5" t="s">
        <v>16</v>
      </c>
      <c r="G29" s="5" t="s">
        <v>17</v>
      </c>
      <c r="H29" s="13">
        <v>745.35</v>
      </c>
      <c r="I29" s="14">
        <v>2500.0</v>
      </c>
      <c r="J29" s="15">
        <v>204000.0</v>
      </c>
      <c r="K29" s="14">
        <v>360.0</v>
      </c>
      <c r="L29" s="5" t="s">
        <v>36</v>
      </c>
      <c r="M29" s="14">
        <v>1.5</v>
      </c>
      <c r="N29" s="14">
        <v>1134.0</v>
      </c>
      <c r="O29" s="14">
        <v>0.12</v>
      </c>
      <c r="P29" s="14">
        <v>1600.0</v>
      </c>
      <c r="Q29" s="14">
        <v>0.85</v>
      </c>
      <c r="R29" s="16">
        <v>2.0E-9</v>
      </c>
      <c r="S29" s="16">
        <v>2.1563E-4</v>
      </c>
      <c r="T29" s="16">
        <v>1.7896E-5</v>
      </c>
      <c r="U29" s="14">
        <f t="shared" si="1"/>
        <v>0.1607198205</v>
      </c>
      <c r="V29" s="14">
        <f t="shared" si="2"/>
        <v>20.294064</v>
      </c>
      <c r="W29" s="14">
        <f t="shared" si="3"/>
        <v>4017.995513</v>
      </c>
      <c r="X29" s="14">
        <v>5.1</v>
      </c>
      <c r="Y29" s="14">
        <v>9.92</v>
      </c>
      <c r="Z29" s="17">
        <v>980.0</v>
      </c>
      <c r="AA29" s="15">
        <v>3985.3</v>
      </c>
      <c r="AB29" s="17">
        <v>1000.0</v>
      </c>
      <c r="AC29" s="15">
        <v>4053.8</v>
      </c>
      <c r="AD29" s="14">
        <f t="shared" si="4"/>
        <v>989.546135</v>
      </c>
      <c r="AE29" s="17">
        <v>1300.0</v>
      </c>
      <c r="AF29" s="15">
        <v>5032.0</v>
      </c>
      <c r="AG29" s="17">
        <v>1320.0</v>
      </c>
      <c r="AH29" s="15">
        <v>5093.7</v>
      </c>
      <c r="AI29" s="14">
        <f t="shared" si="5"/>
        <v>1308.556082</v>
      </c>
      <c r="AJ29" s="17">
        <v>1080.0</v>
      </c>
      <c r="AK29" s="15">
        <v>4.6841</v>
      </c>
      <c r="AL29" s="17">
        <v>1100.0</v>
      </c>
      <c r="AM29" s="15">
        <v>5.1537</v>
      </c>
      <c r="AN29" s="14">
        <f t="shared" si="6"/>
        <v>1097.712947</v>
      </c>
      <c r="AO29" s="17">
        <v>1400.0</v>
      </c>
      <c r="AP29" s="15">
        <v>9.8821</v>
      </c>
      <c r="AQ29" s="17">
        <v>1420.0</v>
      </c>
      <c r="AR29" s="15">
        <v>10.104</v>
      </c>
      <c r="AS29" s="14">
        <f t="shared" si="7"/>
        <v>1403.415953</v>
      </c>
      <c r="AT29" s="19">
        <v>0.015211</v>
      </c>
      <c r="AU29" s="19">
        <v>12.929</v>
      </c>
      <c r="AV29" s="14">
        <f t="shared" si="8"/>
        <v>1097.712947</v>
      </c>
    </row>
    <row r="30" ht="15.75" customHeight="1">
      <c r="A30" s="5">
        <v>27.0</v>
      </c>
      <c r="B30" s="5">
        <v>3.0</v>
      </c>
      <c r="C30" s="13">
        <v>297.15</v>
      </c>
      <c r="D30" s="5">
        <v>3.0</v>
      </c>
      <c r="E30" s="13">
        <v>8.0</v>
      </c>
      <c r="F30" s="5" t="s">
        <v>19</v>
      </c>
      <c r="G30" s="5" t="s">
        <v>20</v>
      </c>
      <c r="H30" s="13">
        <v>778.87</v>
      </c>
      <c r="I30" s="14">
        <v>2500.0</v>
      </c>
      <c r="J30" s="15">
        <v>204000.0</v>
      </c>
      <c r="K30" s="14">
        <v>90.0</v>
      </c>
      <c r="L30" s="5" t="s">
        <v>36</v>
      </c>
      <c r="M30" s="14">
        <v>1.5</v>
      </c>
      <c r="N30" s="14">
        <v>1134.0</v>
      </c>
      <c r="O30" s="14">
        <v>0.12</v>
      </c>
      <c r="P30" s="14">
        <v>1600.0</v>
      </c>
      <c r="Q30" s="14">
        <v>0.85</v>
      </c>
      <c r="R30" s="16">
        <v>2.0E-9</v>
      </c>
      <c r="S30" s="16">
        <v>2.1563E-4</v>
      </c>
      <c r="T30" s="16">
        <v>1.7896E-5</v>
      </c>
      <c r="U30" s="14">
        <f t="shared" si="1"/>
        <v>0.1679477381</v>
      </c>
      <c r="V30" s="14">
        <f t="shared" si="2"/>
        <v>20.294064</v>
      </c>
      <c r="W30" s="14">
        <f t="shared" si="3"/>
        <v>4198.693453</v>
      </c>
      <c r="X30" s="14">
        <v>5.1</v>
      </c>
      <c r="Y30" s="14">
        <v>9.92</v>
      </c>
      <c r="Z30" s="17">
        <v>1020.0</v>
      </c>
      <c r="AA30" s="15">
        <v>4167.6</v>
      </c>
      <c r="AB30" s="17">
        <v>1040.0</v>
      </c>
      <c r="AC30" s="15">
        <v>4236.5</v>
      </c>
      <c r="AD30" s="14">
        <f t="shared" si="4"/>
        <v>1029.025676</v>
      </c>
      <c r="AE30" s="17">
        <v>1340.0</v>
      </c>
      <c r="AF30" s="15">
        <v>5220.8</v>
      </c>
      <c r="AG30" s="17">
        <v>1360.0</v>
      </c>
      <c r="AH30" s="15">
        <v>5282.9</v>
      </c>
      <c r="AI30" s="14">
        <f t="shared" si="5"/>
        <v>1345.891611</v>
      </c>
      <c r="AJ30" s="17">
        <v>1120.0</v>
      </c>
      <c r="AK30" s="15">
        <v>4.6963</v>
      </c>
      <c r="AL30" s="17">
        <v>1140.0</v>
      </c>
      <c r="AM30" s="15">
        <v>5.1654</v>
      </c>
      <c r="AN30" s="14">
        <f t="shared" si="6"/>
        <v>1137.211682</v>
      </c>
      <c r="AO30" s="17">
        <v>1440.0</v>
      </c>
      <c r="AP30" s="15">
        <v>9.8759</v>
      </c>
      <c r="AQ30" s="17">
        <v>1460.0</v>
      </c>
      <c r="AR30" s="15">
        <v>10.099</v>
      </c>
      <c r="AS30" s="14">
        <f t="shared" si="7"/>
        <v>1443.953384</v>
      </c>
      <c r="AT30" s="19">
        <v>0.014979</v>
      </c>
      <c r="AU30" s="19">
        <v>12.732</v>
      </c>
      <c r="AV30" s="14">
        <f t="shared" si="8"/>
        <v>1137.211682</v>
      </c>
    </row>
    <row r="31" ht="15.75" customHeight="1">
      <c r="AT31" s="7"/>
      <c r="AU31" s="7"/>
    </row>
    <row r="32" ht="15.75" customHeight="1">
      <c r="AT32" s="7"/>
      <c r="AU32" s="7"/>
    </row>
    <row r="33" ht="15.75" customHeight="1">
      <c r="AT33" s="7"/>
      <c r="AU33" s="7"/>
    </row>
    <row r="34" ht="15.75" customHeight="1">
      <c r="AT34" s="7"/>
      <c r="AU34" s="7"/>
    </row>
    <row r="35" ht="15.75" customHeight="1">
      <c r="AT35" s="7"/>
      <c r="AU35" s="7"/>
    </row>
    <row r="36" ht="15.75" customHeight="1">
      <c r="AT36" s="7"/>
      <c r="AU36" s="7"/>
    </row>
    <row r="37" ht="15.75" customHeight="1">
      <c r="AT37" s="7"/>
      <c r="AU37" s="7"/>
    </row>
    <row r="38" ht="15.75" customHeight="1">
      <c r="AT38" s="7"/>
      <c r="AU38" s="7"/>
    </row>
    <row r="39" ht="15.75" customHeight="1">
      <c r="AT39" s="7"/>
      <c r="AU39" s="7"/>
    </row>
    <row r="40" ht="15.75" customHeight="1">
      <c r="AT40" s="7"/>
      <c r="AU40" s="7"/>
    </row>
    <row r="41" ht="15.75" customHeight="1">
      <c r="AT41" s="7"/>
      <c r="AU41" s="7"/>
    </row>
    <row r="42" ht="15.75" customHeight="1">
      <c r="AT42" s="7"/>
      <c r="AU42" s="7"/>
    </row>
    <row r="43" ht="15.75" customHeight="1">
      <c r="AT43" s="7"/>
      <c r="AU43" s="7"/>
    </row>
    <row r="44" ht="15.75" customHeight="1">
      <c r="AT44" s="7"/>
      <c r="AU44" s="7"/>
    </row>
    <row r="45" ht="15.75" customHeight="1">
      <c r="AT45" s="7"/>
      <c r="AU45" s="7"/>
    </row>
    <row r="46" ht="15.75" customHeight="1">
      <c r="AT46" s="7"/>
      <c r="AU46" s="7"/>
    </row>
    <row r="47" ht="15.75" customHeight="1">
      <c r="AT47" s="7"/>
      <c r="AU47" s="7"/>
    </row>
    <row r="48" ht="15.75" customHeight="1">
      <c r="AT48" s="7"/>
      <c r="AU48" s="7"/>
    </row>
    <row r="49" ht="15.75" customHeight="1">
      <c r="AT49" s="7"/>
      <c r="AU49" s="7"/>
    </row>
    <row r="50" ht="15.75" customHeight="1">
      <c r="AT50" s="7"/>
      <c r="AU50" s="7"/>
    </row>
    <row r="51" ht="15.75" customHeight="1">
      <c r="AT51" s="7"/>
      <c r="AU51" s="7"/>
    </row>
    <row r="52" ht="15.75" customHeight="1">
      <c r="AT52" s="7"/>
      <c r="AU52" s="7"/>
    </row>
    <row r="53" ht="15.75" customHeight="1">
      <c r="AT53" s="7"/>
      <c r="AU53" s="7"/>
    </row>
    <row r="54" ht="15.75" customHeight="1">
      <c r="AT54" s="7"/>
      <c r="AU54" s="7"/>
    </row>
    <row r="55" ht="15.75" customHeight="1">
      <c r="AT55" s="7"/>
      <c r="AU55" s="7"/>
    </row>
    <row r="56" ht="15.75" customHeight="1">
      <c r="AT56" s="7"/>
      <c r="AU56" s="7"/>
    </row>
    <row r="57" ht="15.75" customHeight="1">
      <c r="AT57" s="7"/>
      <c r="AU57" s="7"/>
    </row>
    <row r="58" ht="15.75" customHeight="1">
      <c r="AT58" s="7"/>
      <c r="AU58" s="7"/>
    </row>
    <row r="59" ht="15.75" customHeight="1">
      <c r="AT59" s="7"/>
      <c r="AU59" s="7"/>
    </row>
    <row r="60" ht="15.75" customHeight="1">
      <c r="AT60" s="7"/>
      <c r="AU60" s="7"/>
    </row>
    <row r="61" ht="15.75" customHeight="1">
      <c r="AT61" s="7"/>
      <c r="AU61" s="7"/>
    </row>
    <row r="62" ht="15.75" customHeight="1">
      <c r="AT62" s="7"/>
      <c r="AU62" s="7"/>
    </row>
    <row r="63" ht="15.75" customHeight="1">
      <c r="AT63" s="7"/>
      <c r="AU63" s="7"/>
    </row>
    <row r="64" ht="15.75" customHeight="1">
      <c r="AT64" s="7"/>
      <c r="AU64" s="7"/>
    </row>
    <row r="65" ht="15.75" customHeight="1">
      <c r="AT65" s="7"/>
      <c r="AU65" s="7"/>
    </row>
    <row r="66" ht="15.75" customHeight="1">
      <c r="AT66" s="7"/>
      <c r="AU66" s="7"/>
    </row>
    <row r="67" ht="15.75" customHeight="1">
      <c r="AT67" s="7"/>
      <c r="AU67" s="7"/>
    </row>
    <row r="68" ht="15.75" customHeight="1">
      <c r="AT68" s="7"/>
      <c r="AU68" s="7"/>
    </row>
    <row r="69" ht="15.75" customHeight="1">
      <c r="AT69" s="7"/>
      <c r="AU69" s="7"/>
    </row>
    <row r="70" ht="15.75" customHeight="1">
      <c r="AT70" s="7"/>
      <c r="AU70" s="7"/>
    </row>
    <row r="71" ht="15.75" customHeight="1">
      <c r="AT71" s="7"/>
      <c r="AU71" s="7"/>
    </row>
    <row r="72" ht="15.75" customHeight="1">
      <c r="AT72" s="7"/>
      <c r="AU72" s="7"/>
    </row>
    <row r="73" ht="15.75" customHeight="1">
      <c r="AT73" s="7"/>
      <c r="AU73" s="7"/>
    </row>
    <row r="74" ht="15.75" customHeight="1">
      <c r="AT74" s="7"/>
      <c r="AU74" s="7"/>
    </row>
    <row r="75" ht="15.75" customHeight="1">
      <c r="AT75" s="7"/>
      <c r="AU75" s="7"/>
    </row>
    <row r="76" ht="15.75" customHeight="1">
      <c r="AT76" s="7"/>
      <c r="AU76" s="7"/>
    </row>
    <row r="77" ht="15.75" customHeight="1">
      <c r="AT77" s="7"/>
      <c r="AU77" s="7"/>
    </row>
    <row r="78" ht="15.75" customHeight="1">
      <c r="AT78" s="7"/>
      <c r="AU78" s="7"/>
    </row>
    <row r="79" ht="15.75" customHeight="1">
      <c r="AT79" s="7"/>
      <c r="AU79" s="7"/>
    </row>
    <row r="80" ht="15.75" customHeight="1">
      <c r="AT80" s="7"/>
      <c r="AU80" s="7"/>
    </row>
    <row r="81" ht="15.75" customHeight="1">
      <c r="AT81" s="7"/>
      <c r="AU81" s="7"/>
    </row>
    <row r="82" ht="15.75" customHeight="1">
      <c r="AT82" s="7"/>
      <c r="AU82" s="7"/>
    </row>
    <row r="83" ht="15.75" customHeight="1">
      <c r="AT83" s="7"/>
      <c r="AU83" s="7"/>
    </row>
    <row r="84" ht="15.75" customHeight="1">
      <c r="AT84" s="7"/>
      <c r="AU84" s="7"/>
    </row>
    <row r="85" ht="15.75" customHeight="1">
      <c r="AT85" s="7"/>
      <c r="AU85" s="7"/>
    </row>
    <row r="86" ht="15.75" customHeight="1">
      <c r="AT86" s="7"/>
      <c r="AU86" s="7"/>
    </row>
    <row r="87" ht="15.75" customHeight="1">
      <c r="AT87" s="7"/>
      <c r="AU87" s="7"/>
    </row>
    <row r="88" ht="15.75" customHeight="1">
      <c r="AT88" s="7"/>
      <c r="AU88" s="7"/>
    </row>
    <row r="89" ht="15.75" customHeight="1">
      <c r="AT89" s="7"/>
      <c r="AU89" s="7"/>
    </row>
    <row r="90" ht="15.75" customHeight="1">
      <c r="AT90" s="7"/>
      <c r="AU90" s="7"/>
    </row>
    <row r="91" ht="15.75" customHeight="1">
      <c r="AT91" s="7"/>
      <c r="AU91" s="7"/>
    </row>
    <row r="92" ht="15.75" customHeight="1">
      <c r="AT92" s="7"/>
      <c r="AU92" s="7"/>
    </row>
    <row r="93" ht="15.75" customHeight="1">
      <c r="AT93" s="7"/>
      <c r="AU93" s="7"/>
    </row>
    <row r="94" ht="15.75" customHeight="1">
      <c r="AT94" s="7"/>
      <c r="AU94" s="7"/>
    </row>
    <row r="95" ht="15.75" customHeight="1">
      <c r="AT95" s="7"/>
      <c r="AU95" s="7"/>
    </row>
    <row r="96" ht="15.75" customHeight="1">
      <c r="AT96" s="7"/>
      <c r="AU96" s="7"/>
    </row>
    <row r="97" ht="15.75" customHeight="1">
      <c r="AT97" s="7"/>
      <c r="AU97" s="7"/>
    </row>
    <row r="98" ht="15.75" customHeight="1">
      <c r="AT98" s="7"/>
      <c r="AU98" s="7"/>
    </row>
    <row r="99" ht="15.75" customHeight="1">
      <c r="AT99" s="7"/>
      <c r="AU99" s="7"/>
    </row>
    <row r="100" ht="15.75" customHeight="1">
      <c r="AT100" s="7"/>
      <c r="AU100" s="7"/>
    </row>
    <row r="101" ht="15.75" customHeight="1">
      <c r="AT101" s="7"/>
      <c r="AU101" s="7"/>
    </row>
    <row r="102" ht="15.75" customHeight="1">
      <c r="AT102" s="7"/>
      <c r="AU102" s="7"/>
    </row>
    <row r="103" ht="15.75" customHeight="1">
      <c r="AT103" s="7"/>
      <c r="AU103" s="7"/>
    </row>
    <row r="104" ht="15.75" customHeight="1">
      <c r="AT104" s="7"/>
      <c r="AU104" s="7"/>
    </row>
    <row r="105" ht="15.75" customHeight="1">
      <c r="AT105" s="7"/>
      <c r="AU105" s="7"/>
    </row>
    <row r="106" ht="15.75" customHeight="1">
      <c r="AT106" s="7"/>
      <c r="AU106" s="7"/>
    </row>
    <row r="107" ht="15.75" customHeight="1">
      <c r="AT107" s="7"/>
      <c r="AU107" s="7"/>
    </row>
    <row r="108" ht="15.75" customHeight="1">
      <c r="AT108" s="7"/>
      <c r="AU108" s="7"/>
    </row>
    <row r="109" ht="15.75" customHeight="1">
      <c r="AT109" s="7"/>
      <c r="AU109" s="7"/>
    </row>
    <row r="110" ht="15.75" customHeight="1">
      <c r="AT110" s="7"/>
      <c r="AU110" s="7"/>
    </row>
    <row r="111" ht="15.75" customHeight="1">
      <c r="AT111" s="7"/>
      <c r="AU111" s="7"/>
    </row>
    <row r="112" ht="15.75" customHeight="1">
      <c r="AT112" s="7"/>
      <c r="AU112" s="7"/>
    </row>
    <row r="113" ht="15.75" customHeight="1">
      <c r="AT113" s="7"/>
      <c r="AU113" s="7"/>
    </row>
    <row r="114" ht="15.75" customHeight="1">
      <c r="AT114" s="7"/>
      <c r="AU114" s="7"/>
    </row>
    <row r="115" ht="15.75" customHeight="1">
      <c r="AT115" s="7"/>
      <c r="AU115" s="7"/>
    </row>
    <row r="116" ht="15.75" customHeight="1">
      <c r="AT116" s="7"/>
      <c r="AU116" s="7"/>
    </row>
    <row r="117" ht="15.75" customHeight="1">
      <c r="AT117" s="7"/>
      <c r="AU117" s="7"/>
    </row>
    <row r="118" ht="15.75" customHeight="1">
      <c r="AT118" s="7"/>
      <c r="AU118" s="7"/>
    </row>
    <row r="119" ht="15.75" customHeight="1">
      <c r="AT119" s="7"/>
      <c r="AU119" s="7"/>
    </row>
    <row r="120" ht="15.75" customHeight="1">
      <c r="AT120" s="7"/>
      <c r="AU120" s="7"/>
    </row>
    <row r="121" ht="15.75" customHeight="1">
      <c r="AT121" s="7"/>
      <c r="AU121" s="7"/>
    </row>
    <row r="122" ht="15.75" customHeight="1">
      <c r="AT122" s="7"/>
      <c r="AU122" s="7"/>
    </row>
    <row r="123" ht="15.75" customHeight="1">
      <c r="AT123" s="7"/>
      <c r="AU123" s="7"/>
    </row>
    <row r="124" ht="15.75" customHeight="1">
      <c r="AT124" s="7"/>
      <c r="AU124" s="7"/>
    </row>
    <row r="125" ht="15.75" customHeight="1">
      <c r="AT125" s="7"/>
      <c r="AU125" s="7"/>
    </row>
    <row r="126" ht="15.75" customHeight="1">
      <c r="AT126" s="7"/>
      <c r="AU126" s="7"/>
    </row>
    <row r="127" ht="15.75" customHeight="1">
      <c r="AT127" s="7"/>
      <c r="AU127" s="7"/>
    </row>
    <row r="128" ht="15.75" customHeight="1">
      <c r="AT128" s="7"/>
      <c r="AU128" s="7"/>
    </row>
    <row r="129" ht="15.75" customHeight="1">
      <c r="AT129" s="7"/>
      <c r="AU129" s="7"/>
    </row>
    <row r="130" ht="15.75" customHeight="1">
      <c r="AT130" s="7"/>
      <c r="AU130" s="7"/>
    </row>
    <row r="131" ht="15.75" customHeight="1">
      <c r="AT131" s="7"/>
      <c r="AU131" s="7"/>
    </row>
    <row r="132" ht="15.75" customHeight="1">
      <c r="AT132" s="7"/>
      <c r="AU132" s="7"/>
    </row>
    <row r="133" ht="15.75" customHeight="1">
      <c r="AT133" s="7"/>
      <c r="AU133" s="7"/>
    </row>
    <row r="134" ht="15.75" customHeight="1">
      <c r="AT134" s="7"/>
      <c r="AU134" s="7"/>
    </row>
    <row r="135" ht="15.75" customHeight="1">
      <c r="AT135" s="7"/>
      <c r="AU135" s="7"/>
    </row>
    <row r="136" ht="15.75" customHeight="1">
      <c r="AT136" s="7"/>
      <c r="AU136" s="7"/>
    </row>
    <row r="137" ht="15.75" customHeight="1">
      <c r="AT137" s="7"/>
      <c r="AU137" s="7"/>
    </row>
    <row r="138" ht="15.75" customHeight="1">
      <c r="AT138" s="7"/>
      <c r="AU138" s="7"/>
    </row>
    <row r="139" ht="15.75" customHeight="1">
      <c r="AT139" s="7"/>
      <c r="AU139" s="7"/>
    </row>
    <row r="140" ht="15.75" customHeight="1">
      <c r="AT140" s="7"/>
      <c r="AU140" s="7"/>
    </row>
    <row r="141" ht="15.75" customHeight="1">
      <c r="AT141" s="7"/>
      <c r="AU141" s="7"/>
    </row>
    <row r="142" ht="15.75" customHeight="1">
      <c r="AT142" s="7"/>
      <c r="AU142" s="7"/>
    </row>
    <row r="143" ht="15.75" customHeight="1">
      <c r="AT143" s="7"/>
      <c r="AU143" s="7"/>
    </row>
    <row r="144" ht="15.75" customHeight="1">
      <c r="AT144" s="7"/>
      <c r="AU144" s="7"/>
    </row>
    <row r="145" ht="15.75" customHeight="1">
      <c r="AT145" s="7"/>
      <c r="AU145" s="7"/>
    </row>
    <row r="146" ht="15.75" customHeight="1">
      <c r="AT146" s="7"/>
      <c r="AU146" s="7"/>
    </row>
    <row r="147" ht="15.75" customHeight="1">
      <c r="AT147" s="7"/>
      <c r="AU147" s="7"/>
    </row>
    <row r="148" ht="15.75" customHeight="1">
      <c r="AT148" s="7"/>
      <c r="AU148" s="7"/>
    </row>
    <row r="149" ht="15.75" customHeight="1">
      <c r="AT149" s="7"/>
      <c r="AU149" s="7"/>
    </row>
    <row r="150" ht="15.75" customHeight="1">
      <c r="AT150" s="7"/>
      <c r="AU150" s="7"/>
    </row>
    <row r="151" ht="15.75" customHeight="1">
      <c r="AT151" s="7"/>
      <c r="AU151" s="7"/>
    </row>
    <row r="152" ht="15.75" customHeight="1">
      <c r="AT152" s="7"/>
      <c r="AU152" s="7"/>
    </row>
    <row r="153" ht="15.75" customHeight="1">
      <c r="AT153" s="7"/>
      <c r="AU153" s="7"/>
    </row>
    <row r="154" ht="15.75" customHeight="1">
      <c r="AT154" s="7"/>
      <c r="AU154" s="7"/>
    </row>
    <row r="155" ht="15.75" customHeight="1">
      <c r="AT155" s="7"/>
      <c r="AU155" s="7"/>
    </row>
    <row r="156" ht="15.75" customHeight="1">
      <c r="AT156" s="7"/>
      <c r="AU156" s="7"/>
    </row>
    <row r="157" ht="15.75" customHeight="1">
      <c r="AT157" s="7"/>
      <c r="AU157" s="7"/>
    </row>
    <row r="158" ht="15.75" customHeight="1">
      <c r="AT158" s="7"/>
      <c r="AU158" s="7"/>
    </row>
    <row r="159" ht="15.75" customHeight="1">
      <c r="AT159" s="7"/>
      <c r="AU159" s="7"/>
    </row>
    <row r="160" ht="15.75" customHeight="1">
      <c r="AT160" s="7"/>
      <c r="AU160" s="7"/>
    </row>
    <row r="161" ht="15.75" customHeight="1">
      <c r="AT161" s="7"/>
      <c r="AU161" s="7"/>
    </row>
    <row r="162" ht="15.75" customHeight="1">
      <c r="AT162" s="7"/>
      <c r="AU162" s="7"/>
    </row>
    <row r="163" ht="15.75" customHeight="1">
      <c r="AT163" s="7"/>
      <c r="AU163" s="7"/>
    </row>
    <row r="164" ht="15.75" customHeight="1">
      <c r="AT164" s="7"/>
      <c r="AU164" s="7"/>
    </row>
    <row r="165" ht="15.75" customHeight="1">
      <c r="AT165" s="7"/>
      <c r="AU165" s="7"/>
    </row>
    <row r="166" ht="15.75" customHeight="1">
      <c r="AT166" s="7"/>
      <c r="AU166" s="7"/>
    </row>
    <row r="167" ht="15.75" customHeight="1">
      <c r="AT167" s="7"/>
      <c r="AU167" s="7"/>
    </row>
    <row r="168" ht="15.75" customHeight="1">
      <c r="AT168" s="7"/>
      <c r="AU168" s="7"/>
    </row>
    <row r="169" ht="15.75" customHeight="1">
      <c r="AT169" s="7"/>
      <c r="AU169" s="7"/>
    </row>
    <row r="170" ht="15.75" customHeight="1">
      <c r="AT170" s="7"/>
      <c r="AU170" s="7"/>
    </row>
    <row r="171" ht="15.75" customHeight="1">
      <c r="AT171" s="7"/>
      <c r="AU171" s="7"/>
    </row>
    <row r="172" ht="15.75" customHeight="1">
      <c r="AT172" s="7"/>
      <c r="AU172" s="7"/>
    </row>
    <row r="173" ht="15.75" customHeight="1">
      <c r="AT173" s="7"/>
      <c r="AU173" s="7"/>
    </row>
    <row r="174" ht="15.75" customHeight="1">
      <c r="AT174" s="7"/>
      <c r="AU174" s="7"/>
    </row>
    <row r="175" ht="15.75" customHeight="1">
      <c r="AT175" s="7"/>
      <c r="AU175" s="7"/>
    </row>
    <row r="176" ht="15.75" customHeight="1">
      <c r="AT176" s="7"/>
      <c r="AU176" s="7"/>
    </row>
    <row r="177" ht="15.75" customHeight="1">
      <c r="AT177" s="7"/>
      <c r="AU177" s="7"/>
    </row>
    <row r="178" ht="15.75" customHeight="1">
      <c r="AT178" s="7"/>
      <c r="AU178" s="7"/>
    </row>
    <row r="179" ht="15.75" customHeight="1">
      <c r="AT179" s="7"/>
      <c r="AU179" s="7"/>
    </row>
    <row r="180" ht="15.75" customHeight="1">
      <c r="AT180" s="7"/>
      <c r="AU180" s="7"/>
    </row>
    <row r="181" ht="15.75" customHeight="1">
      <c r="AT181" s="7"/>
      <c r="AU181" s="7"/>
    </row>
    <row r="182" ht="15.75" customHeight="1">
      <c r="AT182" s="7"/>
      <c r="AU182" s="7"/>
    </row>
    <row r="183" ht="15.75" customHeight="1">
      <c r="AT183" s="7"/>
      <c r="AU183" s="7"/>
    </row>
    <row r="184" ht="15.75" customHeight="1">
      <c r="AT184" s="7"/>
      <c r="AU184" s="7"/>
    </row>
    <row r="185" ht="15.75" customHeight="1">
      <c r="AT185" s="7"/>
      <c r="AU185" s="7"/>
    </row>
    <row r="186" ht="15.75" customHeight="1">
      <c r="AT186" s="7"/>
      <c r="AU186" s="7"/>
    </row>
    <row r="187" ht="15.75" customHeight="1">
      <c r="AT187" s="7"/>
      <c r="AU187" s="7"/>
    </row>
    <row r="188" ht="15.75" customHeight="1">
      <c r="AT188" s="7"/>
      <c r="AU188" s="7"/>
    </row>
    <row r="189" ht="15.75" customHeight="1">
      <c r="AT189" s="7"/>
      <c r="AU189" s="7"/>
    </row>
    <row r="190" ht="15.75" customHeight="1">
      <c r="AT190" s="7"/>
      <c r="AU190" s="7"/>
    </row>
    <row r="191" ht="15.75" customHeight="1">
      <c r="AT191" s="7"/>
      <c r="AU191" s="7"/>
    </row>
    <row r="192" ht="15.75" customHeight="1">
      <c r="AT192" s="7"/>
      <c r="AU192" s="7"/>
    </row>
    <row r="193" ht="15.75" customHeight="1">
      <c r="AT193" s="7"/>
      <c r="AU193" s="7"/>
    </row>
    <row r="194" ht="15.75" customHeight="1">
      <c r="AT194" s="7"/>
      <c r="AU194" s="7"/>
    </row>
    <row r="195" ht="15.75" customHeight="1">
      <c r="AT195" s="7"/>
      <c r="AU195" s="7"/>
    </row>
    <row r="196" ht="15.75" customHeight="1">
      <c r="AT196" s="7"/>
      <c r="AU196" s="7"/>
    </row>
    <row r="197" ht="15.75" customHeight="1">
      <c r="AT197" s="7"/>
      <c r="AU197" s="7"/>
    </row>
    <row r="198" ht="15.75" customHeight="1">
      <c r="AT198" s="7"/>
      <c r="AU198" s="7"/>
    </row>
    <row r="199" ht="15.75" customHeight="1">
      <c r="AT199" s="7"/>
      <c r="AU199" s="7"/>
    </row>
    <row r="200" ht="15.75" customHeight="1">
      <c r="AT200" s="7"/>
      <c r="AU200" s="7"/>
    </row>
    <row r="201" ht="15.75" customHeight="1">
      <c r="AT201" s="7"/>
      <c r="AU201" s="7"/>
    </row>
    <row r="202" ht="15.75" customHeight="1">
      <c r="AT202" s="7"/>
      <c r="AU202" s="7"/>
    </row>
    <row r="203" ht="15.75" customHeight="1">
      <c r="AT203" s="7"/>
      <c r="AU203" s="7"/>
    </row>
    <row r="204" ht="15.75" customHeight="1">
      <c r="AT204" s="7"/>
      <c r="AU204" s="7"/>
    </row>
    <row r="205" ht="15.75" customHeight="1">
      <c r="AT205" s="7"/>
      <c r="AU205" s="7"/>
    </row>
    <row r="206" ht="15.75" customHeight="1">
      <c r="AT206" s="7"/>
      <c r="AU206" s="7"/>
    </row>
    <row r="207" ht="15.75" customHeight="1">
      <c r="AT207" s="7"/>
      <c r="AU207" s="7"/>
    </row>
    <row r="208" ht="15.75" customHeight="1">
      <c r="AT208" s="7"/>
      <c r="AU208" s="7"/>
    </row>
    <row r="209" ht="15.75" customHeight="1">
      <c r="AT209" s="7"/>
      <c r="AU209" s="7"/>
    </row>
    <row r="210" ht="15.75" customHeight="1">
      <c r="AT210" s="7"/>
      <c r="AU210" s="7"/>
    </row>
    <row r="211" ht="15.75" customHeight="1">
      <c r="AT211" s="7"/>
      <c r="AU211" s="7"/>
    </row>
    <row r="212" ht="15.75" customHeight="1">
      <c r="AT212" s="7"/>
      <c r="AU212" s="7"/>
    </row>
    <row r="213" ht="15.75" customHeight="1">
      <c r="AT213" s="7"/>
      <c r="AU213" s="7"/>
    </row>
    <row r="214" ht="15.75" customHeight="1">
      <c r="AT214" s="7"/>
      <c r="AU214" s="7"/>
    </row>
    <row r="215" ht="15.75" customHeight="1">
      <c r="AT215" s="7"/>
      <c r="AU215" s="7"/>
    </row>
    <row r="216" ht="15.75" customHeight="1">
      <c r="AT216" s="7"/>
      <c r="AU216" s="7"/>
    </row>
    <row r="217" ht="15.75" customHeight="1">
      <c r="AT217" s="7"/>
      <c r="AU217" s="7"/>
    </row>
    <row r="218" ht="15.75" customHeight="1">
      <c r="AT218" s="7"/>
      <c r="AU218" s="7"/>
    </row>
    <row r="219" ht="15.75" customHeight="1">
      <c r="AT219" s="7"/>
      <c r="AU219" s="7"/>
    </row>
    <row r="220" ht="15.75" customHeight="1">
      <c r="AT220" s="7"/>
      <c r="AU220" s="7"/>
    </row>
    <row r="221" ht="15.75" customHeight="1">
      <c r="AT221" s="7"/>
      <c r="AU221" s="7"/>
    </row>
    <row r="222" ht="15.75" customHeight="1">
      <c r="AT222" s="7"/>
      <c r="AU222" s="7"/>
    </row>
    <row r="223" ht="15.75" customHeight="1">
      <c r="AT223" s="7"/>
      <c r="AU223" s="7"/>
    </row>
    <row r="224" ht="15.75" customHeight="1">
      <c r="AT224" s="7"/>
      <c r="AU224" s="7"/>
    </row>
    <row r="225" ht="15.75" customHeight="1">
      <c r="AT225" s="7"/>
      <c r="AU225" s="7"/>
    </row>
    <row r="226" ht="15.75" customHeight="1">
      <c r="AT226" s="7"/>
      <c r="AU226" s="7"/>
    </row>
    <row r="227" ht="15.75" customHeight="1">
      <c r="AT227" s="7"/>
      <c r="AU227" s="7"/>
    </row>
    <row r="228" ht="15.75" customHeight="1">
      <c r="AT228" s="7"/>
      <c r="AU228" s="7"/>
    </row>
    <row r="229" ht="15.75" customHeight="1">
      <c r="AT229" s="7"/>
      <c r="AU229" s="7"/>
    </row>
    <row r="230" ht="15.75" customHeight="1">
      <c r="AT230" s="7"/>
      <c r="AU230" s="7"/>
    </row>
    <row r="231" ht="15.75" customHeight="1">
      <c r="AT231" s="7"/>
      <c r="AU231" s="7"/>
    </row>
    <row r="232" ht="15.75" customHeight="1">
      <c r="AT232" s="7"/>
      <c r="AU232" s="7"/>
    </row>
    <row r="233" ht="15.75" customHeight="1">
      <c r="AT233" s="7"/>
      <c r="AU233" s="7"/>
    </row>
    <row r="234" ht="15.75" customHeight="1">
      <c r="AT234" s="7"/>
      <c r="AU234" s="7"/>
    </row>
    <row r="235" ht="15.75" customHeight="1">
      <c r="AT235" s="7"/>
      <c r="AU235" s="7"/>
    </row>
    <row r="236" ht="15.75" customHeight="1">
      <c r="AT236" s="7"/>
      <c r="AU236" s="7"/>
    </row>
    <row r="237" ht="15.75" customHeight="1">
      <c r="AT237" s="7"/>
      <c r="AU237" s="7"/>
    </row>
    <row r="238" ht="15.75" customHeight="1">
      <c r="AT238" s="7"/>
      <c r="AU238" s="7"/>
    </row>
    <row r="239" ht="15.75" customHeight="1">
      <c r="AT239" s="7"/>
      <c r="AU239" s="7"/>
    </row>
    <row r="240" ht="15.75" customHeight="1">
      <c r="AT240" s="7"/>
      <c r="AU240" s="7"/>
    </row>
    <row r="241" ht="15.75" customHeight="1">
      <c r="AT241" s="7"/>
      <c r="AU241" s="7"/>
    </row>
    <row r="242" ht="15.75" customHeight="1">
      <c r="AT242" s="7"/>
      <c r="AU242" s="7"/>
    </row>
    <row r="243" ht="15.75" customHeight="1">
      <c r="AT243" s="7"/>
      <c r="AU243" s="7"/>
    </row>
    <row r="244" ht="15.75" customHeight="1">
      <c r="AT244" s="7"/>
      <c r="AU244" s="7"/>
    </row>
    <row r="245" ht="15.75" customHeight="1">
      <c r="AT245" s="7"/>
      <c r="AU245" s="7"/>
    </row>
    <row r="246" ht="15.75" customHeight="1">
      <c r="AT246" s="7"/>
      <c r="AU246" s="7"/>
    </row>
    <row r="247" ht="15.75" customHeight="1">
      <c r="AT247" s="7"/>
      <c r="AU247" s="7"/>
    </row>
    <row r="248" ht="15.75" customHeight="1">
      <c r="AT248" s="7"/>
      <c r="AU248" s="7"/>
    </row>
    <row r="249" ht="15.75" customHeight="1">
      <c r="AT249" s="7"/>
      <c r="AU249" s="7"/>
    </row>
    <row r="250" ht="15.75" customHeight="1">
      <c r="AT250" s="7"/>
      <c r="AU250" s="7"/>
    </row>
    <row r="251" ht="15.75" customHeight="1">
      <c r="AT251" s="7"/>
      <c r="AU251" s="7"/>
    </row>
    <row r="252" ht="15.75" customHeight="1">
      <c r="AT252" s="7"/>
      <c r="AU252" s="7"/>
    </row>
    <row r="253" ht="15.75" customHeight="1">
      <c r="AT253" s="7"/>
      <c r="AU253" s="7"/>
    </row>
    <row r="254" ht="15.75" customHeight="1">
      <c r="AT254" s="7"/>
      <c r="AU254" s="7"/>
    </row>
    <row r="255" ht="15.75" customHeight="1">
      <c r="AT255" s="7"/>
      <c r="AU255" s="7"/>
    </row>
    <row r="256" ht="15.75" customHeight="1">
      <c r="AT256" s="7"/>
      <c r="AU256" s="7"/>
    </row>
    <row r="257" ht="15.75" customHeight="1">
      <c r="AT257" s="7"/>
      <c r="AU257" s="7"/>
    </row>
    <row r="258" ht="15.75" customHeight="1">
      <c r="AT258" s="7"/>
      <c r="AU258" s="7"/>
    </row>
    <row r="259" ht="15.75" customHeight="1">
      <c r="AT259" s="7"/>
      <c r="AU259" s="7"/>
    </row>
    <row r="260" ht="15.75" customHeight="1">
      <c r="AT260" s="7"/>
      <c r="AU260" s="7"/>
    </row>
    <row r="261" ht="15.75" customHeight="1">
      <c r="AT261" s="7"/>
      <c r="AU261" s="7"/>
    </row>
    <row r="262" ht="15.75" customHeight="1">
      <c r="AT262" s="7"/>
      <c r="AU262" s="7"/>
    </row>
    <row r="263" ht="15.75" customHeight="1">
      <c r="AT263" s="7"/>
      <c r="AU263" s="7"/>
    </row>
    <row r="264" ht="15.75" customHeight="1">
      <c r="AT264" s="7"/>
      <c r="AU264" s="7"/>
    </row>
    <row r="265" ht="15.75" customHeight="1">
      <c r="AT265" s="7"/>
      <c r="AU265" s="7"/>
    </row>
    <row r="266" ht="15.75" customHeight="1">
      <c r="AT266" s="7"/>
      <c r="AU266" s="7"/>
    </row>
    <row r="267" ht="15.75" customHeight="1">
      <c r="AT267" s="7"/>
      <c r="AU267" s="7"/>
    </row>
    <row r="268" ht="15.75" customHeight="1">
      <c r="AT268" s="7"/>
      <c r="AU268" s="7"/>
    </row>
    <row r="269" ht="15.75" customHeight="1">
      <c r="AT269" s="7"/>
      <c r="AU269" s="7"/>
    </row>
    <row r="270" ht="15.75" customHeight="1">
      <c r="AT270" s="7"/>
      <c r="AU270" s="7"/>
    </row>
    <row r="271" ht="15.75" customHeight="1">
      <c r="AT271" s="7"/>
      <c r="AU271" s="7"/>
    </row>
    <row r="272" ht="15.75" customHeight="1">
      <c r="AT272" s="7"/>
      <c r="AU272" s="7"/>
    </row>
    <row r="273" ht="15.75" customHeight="1">
      <c r="AT273" s="7"/>
      <c r="AU273" s="7"/>
    </row>
    <row r="274" ht="15.75" customHeight="1">
      <c r="AT274" s="7"/>
      <c r="AU274" s="7"/>
    </row>
    <row r="275" ht="15.75" customHeight="1">
      <c r="AT275" s="7"/>
      <c r="AU275" s="7"/>
    </row>
    <row r="276" ht="15.75" customHeight="1">
      <c r="AT276" s="7"/>
      <c r="AU276" s="7"/>
    </row>
    <row r="277" ht="15.75" customHeight="1">
      <c r="AT277" s="7"/>
      <c r="AU277" s="7"/>
    </row>
    <row r="278" ht="15.75" customHeight="1">
      <c r="AT278" s="7"/>
      <c r="AU278" s="7"/>
    </row>
    <row r="279" ht="15.75" customHeight="1">
      <c r="AT279" s="7"/>
      <c r="AU279" s="7"/>
    </row>
    <row r="280" ht="15.75" customHeight="1">
      <c r="AT280" s="7"/>
      <c r="AU280" s="7"/>
    </row>
    <row r="281" ht="15.75" customHeight="1">
      <c r="AT281" s="7"/>
      <c r="AU281" s="7"/>
    </row>
    <row r="282" ht="15.75" customHeight="1">
      <c r="AT282" s="7"/>
      <c r="AU282" s="7"/>
    </row>
    <row r="283" ht="15.75" customHeight="1">
      <c r="AT283" s="7"/>
      <c r="AU283" s="7"/>
    </row>
    <row r="284" ht="15.75" customHeight="1">
      <c r="AT284" s="7"/>
      <c r="AU284" s="7"/>
    </row>
    <row r="285" ht="15.75" customHeight="1">
      <c r="AT285" s="7"/>
      <c r="AU285" s="7"/>
    </row>
    <row r="286" ht="15.75" customHeight="1">
      <c r="AT286" s="7"/>
      <c r="AU286" s="7"/>
    </row>
    <row r="287" ht="15.75" customHeight="1">
      <c r="AT287" s="7"/>
      <c r="AU287" s="7"/>
    </row>
    <row r="288" ht="15.75" customHeight="1">
      <c r="AT288" s="7"/>
      <c r="AU288" s="7"/>
    </row>
    <row r="289" ht="15.75" customHeight="1">
      <c r="AT289" s="7"/>
      <c r="AU289" s="7"/>
    </row>
    <row r="290" ht="15.75" customHeight="1">
      <c r="AT290" s="7"/>
      <c r="AU290" s="7"/>
    </row>
    <row r="291" ht="15.75" customHeight="1">
      <c r="AT291" s="7"/>
      <c r="AU291" s="7"/>
    </row>
    <row r="292" ht="15.75" customHeight="1">
      <c r="AT292" s="7"/>
      <c r="AU292" s="7"/>
    </row>
    <row r="293" ht="15.75" customHeight="1">
      <c r="AT293" s="7"/>
      <c r="AU293" s="7"/>
    </row>
    <row r="294" ht="15.75" customHeight="1">
      <c r="AT294" s="7"/>
      <c r="AU294" s="7"/>
    </row>
    <row r="295" ht="15.75" customHeight="1">
      <c r="AT295" s="7"/>
      <c r="AU295" s="7"/>
    </row>
    <row r="296" ht="15.75" customHeight="1">
      <c r="AT296" s="7"/>
      <c r="AU296" s="7"/>
    </row>
    <row r="297" ht="15.75" customHeight="1">
      <c r="AT297" s="7"/>
      <c r="AU297" s="7"/>
    </row>
    <row r="298" ht="15.75" customHeight="1">
      <c r="AT298" s="7"/>
      <c r="AU298" s="7"/>
    </row>
    <row r="299" ht="15.75" customHeight="1">
      <c r="AT299" s="7"/>
      <c r="AU299" s="7"/>
    </row>
    <row r="300" ht="15.75" customHeight="1">
      <c r="AT300" s="7"/>
      <c r="AU300" s="7"/>
    </row>
    <row r="301" ht="15.75" customHeight="1">
      <c r="AT301" s="7"/>
      <c r="AU301" s="7"/>
    </row>
    <row r="302" ht="15.75" customHeight="1">
      <c r="AT302" s="7"/>
      <c r="AU302" s="7"/>
    </row>
    <row r="303" ht="15.75" customHeight="1">
      <c r="AT303" s="7"/>
      <c r="AU303" s="7"/>
    </row>
    <row r="304" ht="15.75" customHeight="1">
      <c r="AT304" s="7"/>
      <c r="AU304" s="7"/>
    </row>
    <row r="305" ht="15.75" customHeight="1">
      <c r="AT305" s="7"/>
      <c r="AU305" s="7"/>
    </row>
    <row r="306" ht="15.75" customHeight="1">
      <c r="AT306" s="7"/>
      <c r="AU306" s="7"/>
    </row>
    <row r="307" ht="15.75" customHeight="1">
      <c r="AT307" s="7"/>
      <c r="AU307" s="7"/>
    </row>
    <row r="308" ht="15.75" customHeight="1">
      <c r="AT308" s="7"/>
      <c r="AU308" s="7"/>
    </row>
    <row r="309" ht="15.75" customHeight="1">
      <c r="AT309" s="7"/>
      <c r="AU309" s="7"/>
    </row>
    <row r="310" ht="15.75" customHeight="1">
      <c r="AT310" s="7"/>
      <c r="AU310" s="7"/>
    </row>
    <row r="311" ht="15.75" customHeight="1">
      <c r="AT311" s="7"/>
      <c r="AU311" s="7"/>
    </row>
    <row r="312" ht="15.75" customHeight="1">
      <c r="AT312" s="7"/>
      <c r="AU312" s="7"/>
    </row>
    <row r="313" ht="15.75" customHeight="1">
      <c r="AT313" s="7"/>
      <c r="AU313" s="7"/>
    </row>
    <row r="314" ht="15.75" customHeight="1">
      <c r="AT314" s="7"/>
      <c r="AU314" s="7"/>
    </row>
    <row r="315" ht="15.75" customHeight="1">
      <c r="AT315" s="7"/>
      <c r="AU315" s="7"/>
    </row>
    <row r="316" ht="15.75" customHeight="1">
      <c r="AT316" s="7"/>
      <c r="AU316" s="7"/>
    </row>
    <row r="317" ht="15.75" customHeight="1">
      <c r="AT317" s="7"/>
      <c r="AU317" s="7"/>
    </row>
    <row r="318" ht="15.75" customHeight="1">
      <c r="AT318" s="7"/>
      <c r="AU318" s="7"/>
    </row>
    <row r="319" ht="15.75" customHeight="1">
      <c r="AT319" s="7"/>
      <c r="AU319" s="7"/>
    </row>
    <row r="320" ht="15.75" customHeight="1">
      <c r="AT320" s="7"/>
      <c r="AU320" s="7"/>
    </row>
    <row r="321" ht="15.75" customHeight="1">
      <c r="AT321" s="7"/>
      <c r="AU321" s="7"/>
    </row>
    <row r="322" ht="15.75" customHeight="1">
      <c r="AT322" s="7"/>
      <c r="AU322" s="7"/>
    </row>
    <row r="323" ht="15.75" customHeight="1">
      <c r="AT323" s="7"/>
      <c r="AU323" s="7"/>
    </row>
    <row r="324" ht="15.75" customHeight="1">
      <c r="AT324" s="7"/>
      <c r="AU324" s="7"/>
    </row>
    <row r="325" ht="15.75" customHeight="1">
      <c r="AT325" s="7"/>
      <c r="AU325" s="7"/>
    </row>
    <row r="326" ht="15.75" customHeight="1">
      <c r="AT326" s="7"/>
      <c r="AU326" s="7"/>
    </row>
    <row r="327" ht="15.75" customHeight="1">
      <c r="AT327" s="7"/>
      <c r="AU327" s="7"/>
    </row>
    <row r="328" ht="15.75" customHeight="1">
      <c r="AT328" s="7"/>
      <c r="AU328" s="7"/>
    </row>
    <row r="329" ht="15.75" customHeight="1">
      <c r="AT329" s="7"/>
      <c r="AU329" s="7"/>
    </row>
    <row r="330" ht="15.75" customHeight="1">
      <c r="AT330" s="7"/>
      <c r="AU330" s="7"/>
    </row>
    <row r="331" ht="15.75" customHeight="1">
      <c r="AT331" s="7"/>
      <c r="AU331" s="7"/>
    </row>
    <row r="332" ht="15.75" customHeight="1">
      <c r="AT332" s="7"/>
      <c r="AU332" s="7"/>
    </row>
    <row r="333" ht="15.75" customHeight="1">
      <c r="AT333" s="7"/>
      <c r="AU333" s="7"/>
    </row>
    <row r="334" ht="15.75" customHeight="1">
      <c r="AT334" s="7"/>
      <c r="AU334" s="7"/>
    </row>
    <row r="335" ht="15.75" customHeight="1">
      <c r="AT335" s="7"/>
      <c r="AU335" s="7"/>
    </row>
    <row r="336" ht="15.75" customHeight="1">
      <c r="AT336" s="7"/>
      <c r="AU336" s="7"/>
    </row>
    <row r="337" ht="15.75" customHeight="1">
      <c r="AT337" s="7"/>
      <c r="AU337" s="7"/>
    </row>
    <row r="338" ht="15.75" customHeight="1">
      <c r="AT338" s="7"/>
      <c r="AU338" s="7"/>
    </row>
    <row r="339" ht="15.75" customHeight="1">
      <c r="AT339" s="7"/>
      <c r="AU339" s="7"/>
    </row>
    <row r="340" ht="15.75" customHeight="1">
      <c r="AT340" s="7"/>
      <c r="AU340" s="7"/>
    </row>
    <row r="341" ht="15.75" customHeight="1">
      <c r="AT341" s="7"/>
      <c r="AU341" s="7"/>
    </row>
    <row r="342" ht="15.75" customHeight="1">
      <c r="AT342" s="7"/>
      <c r="AU342" s="7"/>
    </row>
    <row r="343" ht="15.75" customHeight="1">
      <c r="AT343" s="7"/>
      <c r="AU343" s="7"/>
    </row>
    <row r="344" ht="15.75" customHeight="1">
      <c r="AT344" s="7"/>
      <c r="AU344" s="7"/>
    </row>
    <row r="345" ht="15.75" customHeight="1">
      <c r="AT345" s="7"/>
      <c r="AU345" s="7"/>
    </row>
    <row r="346" ht="15.75" customHeight="1">
      <c r="AT346" s="7"/>
      <c r="AU346" s="7"/>
    </row>
    <row r="347" ht="15.75" customHeight="1">
      <c r="AT347" s="7"/>
      <c r="AU347" s="7"/>
    </row>
    <row r="348" ht="15.75" customHeight="1">
      <c r="AT348" s="7"/>
      <c r="AU348" s="7"/>
    </row>
    <row r="349" ht="15.75" customHeight="1">
      <c r="AT349" s="7"/>
      <c r="AU349" s="7"/>
    </row>
    <row r="350" ht="15.75" customHeight="1">
      <c r="AT350" s="7"/>
      <c r="AU350" s="7"/>
    </row>
    <row r="351" ht="15.75" customHeight="1">
      <c r="AT351" s="7"/>
      <c r="AU351" s="7"/>
    </row>
    <row r="352" ht="15.75" customHeight="1">
      <c r="AT352" s="7"/>
      <c r="AU352" s="7"/>
    </row>
    <row r="353" ht="15.75" customHeight="1">
      <c r="AT353" s="7"/>
      <c r="AU353" s="7"/>
    </row>
    <row r="354" ht="15.75" customHeight="1">
      <c r="AT354" s="7"/>
      <c r="AU354" s="7"/>
    </row>
    <row r="355" ht="15.75" customHeight="1">
      <c r="AT355" s="7"/>
      <c r="AU355" s="7"/>
    </row>
    <row r="356" ht="15.75" customHeight="1">
      <c r="AT356" s="7"/>
      <c r="AU356" s="7"/>
    </row>
    <row r="357" ht="15.75" customHeight="1">
      <c r="AT357" s="7"/>
      <c r="AU357" s="7"/>
    </row>
    <row r="358" ht="15.75" customHeight="1">
      <c r="AT358" s="7"/>
      <c r="AU358" s="7"/>
    </row>
    <row r="359" ht="15.75" customHeight="1">
      <c r="AT359" s="7"/>
      <c r="AU359" s="7"/>
    </row>
    <row r="360" ht="15.75" customHeight="1">
      <c r="AT360" s="7"/>
      <c r="AU360" s="7"/>
    </row>
    <row r="361" ht="15.75" customHeight="1">
      <c r="AT361" s="7"/>
      <c r="AU361" s="7"/>
    </row>
    <row r="362" ht="15.75" customHeight="1">
      <c r="AT362" s="7"/>
      <c r="AU362" s="7"/>
    </row>
    <row r="363" ht="15.75" customHeight="1">
      <c r="AT363" s="7"/>
      <c r="AU363" s="7"/>
    </row>
    <row r="364" ht="15.75" customHeight="1">
      <c r="AT364" s="7"/>
      <c r="AU364" s="7"/>
    </row>
    <row r="365" ht="15.75" customHeight="1">
      <c r="AT365" s="7"/>
      <c r="AU365" s="7"/>
    </row>
    <row r="366" ht="15.75" customHeight="1">
      <c r="AT366" s="7"/>
      <c r="AU366" s="7"/>
    </row>
    <row r="367" ht="15.75" customHeight="1">
      <c r="AT367" s="7"/>
      <c r="AU367" s="7"/>
    </row>
    <row r="368" ht="15.75" customHeight="1">
      <c r="AT368" s="7"/>
      <c r="AU368" s="7"/>
    </row>
    <row r="369" ht="15.75" customHeight="1">
      <c r="AT369" s="7"/>
      <c r="AU369" s="7"/>
    </row>
    <row r="370" ht="15.75" customHeight="1">
      <c r="AT370" s="7"/>
      <c r="AU370" s="7"/>
    </row>
    <row r="371" ht="15.75" customHeight="1">
      <c r="AT371" s="7"/>
      <c r="AU371" s="7"/>
    </row>
    <row r="372" ht="15.75" customHeight="1">
      <c r="AT372" s="7"/>
      <c r="AU372" s="7"/>
    </row>
    <row r="373" ht="15.75" customHeight="1">
      <c r="AT373" s="7"/>
      <c r="AU373" s="7"/>
    </row>
    <row r="374" ht="15.75" customHeight="1">
      <c r="AT374" s="7"/>
      <c r="AU374" s="7"/>
    </row>
    <row r="375" ht="15.75" customHeight="1">
      <c r="AT375" s="7"/>
      <c r="AU375" s="7"/>
    </row>
    <row r="376" ht="15.75" customHeight="1">
      <c r="AT376" s="7"/>
      <c r="AU376" s="7"/>
    </row>
    <row r="377" ht="15.75" customHeight="1">
      <c r="AT377" s="7"/>
      <c r="AU377" s="7"/>
    </row>
    <row r="378" ht="15.75" customHeight="1">
      <c r="AT378" s="7"/>
      <c r="AU378" s="7"/>
    </row>
    <row r="379" ht="15.75" customHeight="1">
      <c r="AT379" s="7"/>
      <c r="AU379" s="7"/>
    </row>
    <row r="380" ht="15.75" customHeight="1">
      <c r="AT380" s="7"/>
      <c r="AU380" s="7"/>
    </row>
    <row r="381" ht="15.75" customHeight="1">
      <c r="AT381" s="7"/>
      <c r="AU381" s="7"/>
    </row>
    <row r="382" ht="15.75" customHeight="1">
      <c r="AT382" s="7"/>
      <c r="AU382" s="7"/>
    </row>
    <row r="383" ht="15.75" customHeight="1">
      <c r="AT383" s="7"/>
      <c r="AU383" s="7"/>
    </row>
    <row r="384" ht="15.75" customHeight="1">
      <c r="AT384" s="7"/>
      <c r="AU384" s="7"/>
    </row>
    <row r="385" ht="15.75" customHeight="1">
      <c r="AT385" s="7"/>
      <c r="AU385" s="7"/>
    </row>
    <row r="386" ht="15.75" customHeight="1">
      <c r="AT386" s="7"/>
      <c r="AU386" s="7"/>
    </row>
    <row r="387" ht="15.75" customHeight="1">
      <c r="AT387" s="7"/>
      <c r="AU387" s="7"/>
    </row>
    <row r="388" ht="15.75" customHeight="1">
      <c r="AT388" s="7"/>
      <c r="AU388" s="7"/>
    </row>
    <row r="389" ht="15.75" customHeight="1">
      <c r="AT389" s="7"/>
      <c r="AU389" s="7"/>
    </row>
    <row r="390" ht="15.75" customHeight="1">
      <c r="AT390" s="7"/>
      <c r="AU390" s="7"/>
    </row>
    <row r="391" ht="15.75" customHeight="1">
      <c r="AT391" s="7"/>
      <c r="AU391" s="7"/>
    </row>
    <row r="392" ht="15.75" customHeight="1">
      <c r="AT392" s="7"/>
      <c r="AU392" s="7"/>
    </row>
    <row r="393" ht="15.75" customHeight="1">
      <c r="AT393" s="7"/>
      <c r="AU393" s="7"/>
    </row>
    <row r="394" ht="15.75" customHeight="1">
      <c r="AT394" s="7"/>
      <c r="AU394" s="7"/>
    </row>
    <row r="395" ht="15.75" customHeight="1">
      <c r="AT395" s="7"/>
      <c r="AU395" s="7"/>
    </row>
    <row r="396" ht="15.75" customHeight="1">
      <c r="AT396" s="7"/>
      <c r="AU396" s="7"/>
    </row>
    <row r="397" ht="15.75" customHeight="1">
      <c r="AT397" s="7"/>
      <c r="AU397" s="7"/>
    </row>
    <row r="398" ht="15.75" customHeight="1">
      <c r="AT398" s="7"/>
      <c r="AU398" s="7"/>
    </row>
    <row r="399" ht="15.75" customHeight="1">
      <c r="AT399" s="7"/>
      <c r="AU399" s="7"/>
    </row>
    <row r="400" ht="15.75" customHeight="1">
      <c r="AT400" s="7"/>
      <c r="AU400" s="7"/>
    </row>
    <row r="401" ht="15.75" customHeight="1">
      <c r="AT401" s="7"/>
      <c r="AU401" s="7"/>
    </row>
    <row r="402" ht="15.75" customHeight="1">
      <c r="AT402" s="7"/>
      <c r="AU402" s="7"/>
    </row>
    <row r="403" ht="15.75" customHeight="1">
      <c r="AT403" s="7"/>
      <c r="AU403" s="7"/>
    </row>
    <row r="404" ht="15.75" customHeight="1">
      <c r="AT404" s="7"/>
      <c r="AU404" s="7"/>
    </row>
    <row r="405" ht="15.75" customHeight="1">
      <c r="AT405" s="7"/>
      <c r="AU405" s="7"/>
    </row>
    <row r="406" ht="15.75" customHeight="1">
      <c r="AT406" s="7"/>
      <c r="AU406" s="7"/>
    </row>
    <row r="407" ht="15.75" customHeight="1">
      <c r="AT407" s="7"/>
      <c r="AU407" s="7"/>
    </row>
    <row r="408" ht="15.75" customHeight="1">
      <c r="AT408" s="7"/>
      <c r="AU408" s="7"/>
    </row>
    <row r="409" ht="15.75" customHeight="1">
      <c r="AT409" s="7"/>
      <c r="AU409" s="7"/>
    </row>
    <row r="410" ht="15.75" customHeight="1">
      <c r="AT410" s="7"/>
      <c r="AU410" s="7"/>
    </row>
    <row r="411" ht="15.75" customHeight="1">
      <c r="AT411" s="7"/>
      <c r="AU411" s="7"/>
    </row>
    <row r="412" ht="15.75" customHeight="1">
      <c r="AT412" s="7"/>
      <c r="AU412" s="7"/>
    </row>
    <row r="413" ht="15.75" customHeight="1">
      <c r="AT413" s="7"/>
      <c r="AU413" s="7"/>
    </row>
    <row r="414" ht="15.75" customHeight="1">
      <c r="AT414" s="7"/>
      <c r="AU414" s="7"/>
    </row>
    <row r="415" ht="15.75" customHeight="1">
      <c r="AT415" s="7"/>
      <c r="AU415" s="7"/>
    </row>
    <row r="416" ht="15.75" customHeight="1">
      <c r="AT416" s="7"/>
      <c r="AU416" s="7"/>
    </row>
    <row r="417" ht="15.75" customHeight="1">
      <c r="AT417" s="7"/>
      <c r="AU417" s="7"/>
    </row>
    <row r="418" ht="15.75" customHeight="1">
      <c r="AT418" s="7"/>
      <c r="AU418" s="7"/>
    </row>
    <row r="419" ht="15.75" customHeight="1">
      <c r="AT419" s="7"/>
      <c r="AU419" s="7"/>
    </row>
    <row r="420" ht="15.75" customHeight="1">
      <c r="AT420" s="7"/>
      <c r="AU420" s="7"/>
    </row>
    <row r="421" ht="15.75" customHeight="1">
      <c r="AT421" s="7"/>
      <c r="AU421" s="7"/>
    </row>
    <row r="422" ht="15.75" customHeight="1">
      <c r="AT422" s="7"/>
      <c r="AU422" s="7"/>
    </row>
    <row r="423" ht="15.75" customHeight="1">
      <c r="AT423" s="7"/>
      <c r="AU423" s="7"/>
    </row>
    <row r="424" ht="15.75" customHeight="1">
      <c r="AT424" s="7"/>
      <c r="AU424" s="7"/>
    </row>
    <row r="425" ht="15.75" customHeight="1">
      <c r="AT425" s="7"/>
      <c r="AU425" s="7"/>
    </row>
    <row r="426" ht="15.75" customHeight="1">
      <c r="AT426" s="7"/>
      <c r="AU426" s="7"/>
    </row>
    <row r="427" ht="15.75" customHeight="1">
      <c r="AT427" s="7"/>
      <c r="AU427" s="7"/>
    </row>
    <row r="428" ht="15.75" customHeight="1">
      <c r="AT428" s="7"/>
      <c r="AU428" s="7"/>
    </row>
    <row r="429" ht="15.75" customHeight="1">
      <c r="AT429" s="7"/>
      <c r="AU429" s="7"/>
    </row>
    <row r="430" ht="15.75" customHeight="1">
      <c r="AT430" s="7"/>
      <c r="AU430" s="7"/>
    </row>
    <row r="431" ht="15.75" customHeight="1">
      <c r="AT431" s="7"/>
      <c r="AU431" s="7"/>
    </row>
    <row r="432" ht="15.75" customHeight="1">
      <c r="AT432" s="7"/>
      <c r="AU432" s="7"/>
    </row>
    <row r="433" ht="15.75" customHeight="1">
      <c r="AT433" s="7"/>
      <c r="AU433" s="7"/>
    </row>
    <row r="434" ht="15.75" customHeight="1">
      <c r="AT434" s="7"/>
      <c r="AU434" s="7"/>
    </row>
    <row r="435" ht="15.75" customHeight="1">
      <c r="AT435" s="7"/>
      <c r="AU435" s="7"/>
    </row>
    <row r="436" ht="15.75" customHeight="1">
      <c r="AT436" s="7"/>
      <c r="AU436" s="7"/>
    </row>
    <row r="437" ht="15.75" customHeight="1">
      <c r="AT437" s="7"/>
      <c r="AU437" s="7"/>
    </row>
    <row r="438" ht="15.75" customHeight="1">
      <c r="AT438" s="7"/>
      <c r="AU438" s="7"/>
    </row>
    <row r="439" ht="15.75" customHeight="1">
      <c r="AT439" s="7"/>
      <c r="AU439" s="7"/>
    </row>
    <row r="440" ht="15.75" customHeight="1">
      <c r="AT440" s="7"/>
      <c r="AU440" s="7"/>
    </row>
    <row r="441" ht="15.75" customHeight="1">
      <c r="AT441" s="7"/>
      <c r="AU441" s="7"/>
    </row>
    <row r="442" ht="15.75" customHeight="1">
      <c r="AT442" s="7"/>
      <c r="AU442" s="7"/>
    </row>
    <row r="443" ht="15.75" customHeight="1">
      <c r="AT443" s="7"/>
      <c r="AU443" s="7"/>
    </row>
    <row r="444" ht="15.75" customHeight="1">
      <c r="AT444" s="7"/>
      <c r="AU444" s="7"/>
    </row>
    <row r="445" ht="15.75" customHeight="1">
      <c r="AT445" s="7"/>
      <c r="AU445" s="7"/>
    </row>
    <row r="446" ht="15.75" customHeight="1">
      <c r="AT446" s="7"/>
      <c r="AU446" s="7"/>
    </row>
    <row r="447" ht="15.75" customHeight="1">
      <c r="AT447" s="7"/>
      <c r="AU447" s="7"/>
    </row>
    <row r="448" ht="15.75" customHeight="1">
      <c r="AT448" s="7"/>
      <c r="AU448" s="7"/>
    </row>
    <row r="449" ht="15.75" customHeight="1">
      <c r="AT449" s="7"/>
      <c r="AU449" s="7"/>
    </row>
    <row r="450" ht="15.75" customHeight="1">
      <c r="AT450" s="7"/>
      <c r="AU450" s="7"/>
    </row>
    <row r="451" ht="15.75" customHeight="1">
      <c r="AT451" s="7"/>
      <c r="AU451" s="7"/>
    </row>
    <row r="452" ht="15.75" customHeight="1">
      <c r="AT452" s="7"/>
      <c r="AU452" s="7"/>
    </row>
    <row r="453" ht="15.75" customHeight="1">
      <c r="AT453" s="7"/>
      <c r="AU453" s="7"/>
    </row>
    <row r="454" ht="15.75" customHeight="1">
      <c r="AT454" s="7"/>
      <c r="AU454" s="7"/>
    </row>
    <row r="455" ht="15.75" customHeight="1">
      <c r="AT455" s="7"/>
      <c r="AU455" s="7"/>
    </row>
    <row r="456" ht="15.75" customHeight="1">
      <c r="AT456" s="7"/>
      <c r="AU456" s="7"/>
    </row>
    <row r="457" ht="15.75" customHeight="1">
      <c r="AT457" s="7"/>
      <c r="AU457" s="7"/>
    </row>
    <row r="458" ht="15.75" customHeight="1">
      <c r="AT458" s="7"/>
      <c r="AU458" s="7"/>
    </row>
    <row r="459" ht="15.75" customHeight="1">
      <c r="AT459" s="7"/>
      <c r="AU459" s="7"/>
    </row>
    <row r="460" ht="15.75" customHeight="1">
      <c r="AT460" s="7"/>
      <c r="AU460" s="7"/>
    </row>
    <row r="461" ht="15.75" customHeight="1">
      <c r="AT461" s="7"/>
      <c r="AU461" s="7"/>
    </row>
    <row r="462" ht="15.75" customHeight="1">
      <c r="AT462" s="7"/>
      <c r="AU462" s="7"/>
    </row>
    <row r="463" ht="15.75" customHeight="1">
      <c r="AT463" s="7"/>
      <c r="AU463" s="7"/>
    </row>
    <row r="464" ht="15.75" customHeight="1">
      <c r="AT464" s="7"/>
      <c r="AU464" s="7"/>
    </row>
    <row r="465" ht="15.75" customHeight="1">
      <c r="AT465" s="7"/>
      <c r="AU465" s="7"/>
    </row>
    <row r="466" ht="15.75" customHeight="1">
      <c r="AT466" s="7"/>
      <c r="AU466" s="7"/>
    </row>
    <row r="467" ht="15.75" customHeight="1">
      <c r="AT467" s="7"/>
      <c r="AU467" s="7"/>
    </row>
    <row r="468" ht="15.75" customHeight="1">
      <c r="AT468" s="7"/>
      <c r="AU468" s="7"/>
    </row>
    <row r="469" ht="15.75" customHeight="1">
      <c r="AT469" s="7"/>
      <c r="AU469" s="7"/>
    </row>
    <row r="470" ht="15.75" customHeight="1">
      <c r="AT470" s="7"/>
      <c r="AU470" s="7"/>
    </row>
    <row r="471" ht="15.75" customHeight="1">
      <c r="AT471" s="7"/>
      <c r="AU471" s="7"/>
    </row>
    <row r="472" ht="15.75" customHeight="1">
      <c r="AT472" s="7"/>
      <c r="AU472" s="7"/>
    </row>
    <row r="473" ht="15.75" customHeight="1">
      <c r="AT473" s="7"/>
      <c r="AU473" s="7"/>
    </row>
    <row r="474" ht="15.75" customHeight="1">
      <c r="AT474" s="7"/>
      <c r="AU474" s="7"/>
    </row>
    <row r="475" ht="15.75" customHeight="1">
      <c r="AT475" s="7"/>
      <c r="AU475" s="7"/>
    </row>
    <row r="476" ht="15.75" customHeight="1">
      <c r="AT476" s="7"/>
      <c r="AU476" s="7"/>
    </row>
    <row r="477" ht="15.75" customHeight="1">
      <c r="AT477" s="7"/>
      <c r="AU477" s="7"/>
    </row>
    <row r="478" ht="15.75" customHeight="1">
      <c r="AT478" s="7"/>
      <c r="AU478" s="7"/>
    </row>
    <row r="479" ht="15.75" customHeight="1">
      <c r="AT479" s="7"/>
      <c r="AU479" s="7"/>
    </row>
    <row r="480" ht="15.75" customHeight="1">
      <c r="AT480" s="7"/>
      <c r="AU480" s="7"/>
    </row>
    <row r="481" ht="15.75" customHeight="1">
      <c r="AT481" s="7"/>
      <c r="AU481" s="7"/>
    </row>
    <row r="482" ht="15.75" customHeight="1">
      <c r="AT482" s="7"/>
      <c r="AU482" s="7"/>
    </row>
    <row r="483" ht="15.75" customHeight="1">
      <c r="AT483" s="7"/>
      <c r="AU483" s="7"/>
    </row>
    <row r="484" ht="15.75" customHeight="1">
      <c r="AT484" s="7"/>
      <c r="AU484" s="7"/>
    </row>
    <row r="485" ht="15.75" customHeight="1">
      <c r="AT485" s="7"/>
      <c r="AU485" s="7"/>
    </row>
    <row r="486" ht="15.75" customHeight="1">
      <c r="AT486" s="7"/>
      <c r="AU486" s="7"/>
    </row>
    <row r="487" ht="15.75" customHeight="1">
      <c r="AT487" s="7"/>
      <c r="AU487" s="7"/>
    </row>
    <row r="488" ht="15.75" customHeight="1">
      <c r="AT488" s="7"/>
      <c r="AU488" s="7"/>
    </row>
    <row r="489" ht="15.75" customHeight="1">
      <c r="AT489" s="7"/>
      <c r="AU489" s="7"/>
    </row>
    <row r="490" ht="15.75" customHeight="1">
      <c r="AT490" s="7"/>
      <c r="AU490" s="7"/>
    </row>
    <row r="491" ht="15.75" customHeight="1">
      <c r="AT491" s="7"/>
      <c r="AU491" s="7"/>
    </row>
    <row r="492" ht="15.75" customHeight="1">
      <c r="AT492" s="7"/>
      <c r="AU492" s="7"/>
    </row>
    <row r="493" ht="15.75" customHeight="1">
      <c r="AT493" s="7"/>
      <c r="AU493" s="7"/>
    </row>
    <row r="494" ht="15.75" customHeight="1">
      <c r="AT494" s="7"/>
      <c r="AU494" s="7"/>
    </row>
    <row r="495" ht="15.75" customHeight="1">
      <c r="AT495" s="7"/>
      <c r="AU495" s="7"/>
    </row>
    <row r="496" ht="15.75" customHeight="1">
      <c r="AT496" s="7"/>
      <c r="AU496" s="7"/>
    </row>
    <row r="497" ht="15.75" customHeight="1">
      <c r="AT497" s="7"/>
      <c r="AU497" s="7"/>
    </row>
    <row r="498" ht="15.75" customHeight="1">
      <c r="AT498" s="7"/>
      <c r="AU498" s="7"/>
    </row>
    <row r="499" ht="15.75" customHeight="1">
      <c r="AT499" s="7"/>
      <c r="AU499" s="7"/>
    </row>
    <row r="500" ht="15.75" customHeight="1">
      <c r="AT500" s="7"/>
      <c r="AU500" s="7"/>
    </row>
    <row r="501" ht="15.75" customHeight="1">
      <c r="AT501" s="7"/>
      <c r="AU501" s="7"/>
    </row>
    <row r="502" ht="15.75" customHeight="1">
      <c r="AT502" s="7"/>
      <c r="AU502" s="7"/>
    </row>
    <row r="503" ht="15.75" customHeight="1">
      <c r="AT503" s="7"/>
      <c r="AU503" s="7"/>
    </row>
    <row r="504" ht="15.75" customHeight="1">
      <c r="AT504" s="7"/>
      <c r="AU504" s="7"/>
    </row>
    <row r="505" ht="15.75" customHeight="1">
      <c r="AT505" s="7"/>
      <c r="AU505" s="7"/>
    </row>
    <row r="506" ht="15.75" customHeight="1">
      <c r="AT506" s="7"/>
      <c r="AU506" s="7"/>
    </row>
    <row r="507" ht="15.75" customHeight="1">
      <c r="AT507" s="7"/>
      <c r="AU507" s="7"/>
    </row>
    <row r="508" ht="15.75" customHeight="1">
      <c r="AT508" s="7"/>
      <c r="AU508" s="7"/>
    </row>
    <row r="509" ht="15.75" customHeight="1">
      <c r="AT509" s="7"/>
      <c r="AU509" s="7"/>
    </row>
    <row r="510" ht="15.75" customHeight="1">
      <c r="AT510" s="7"/>
      <c r="AU510" s="7"/>
    </row>
    <row r="511" ht="15.75" customHeight="1">
      <c r="AT511" s="7"/>
      <c r="AU511" s="7"/>
    </row>
    <row r="512" ht="15.75" customHeight="1">
      <c r="AT512" s="7"/>
      <c r="AU512" s="7"/>
    </row>
    <row r="513" ht="15.75" customHeight="1">
      <c r="AT513" s="7"/>
      <c r="AU513" s="7"/>
    </row>
    <row r="514" ht="15.75" customHeight="1">
      <c r="AT514" s="7"/>
      <c r="AU514" s="7"/>
    </row>
    <row r="515" ht="15.75" customHeight="1">
      <c r="AT515" s="7"/>
      <c r="AU515" s="7"/>
    </row>
    <row r="516" ht="15.75" customHeight="1">
      <c r="AT516" s="7"/>
      <c r="AU516" s="7"/>
    </row>
    <row r="517" ht="15.75" customHeight="1">
      <c r="AT517" s="7"/>
      <c r="AU517" s="7"/>
    </row>
    <row r="518" ht="15.75" customHeight="1">
      <c r="AT518" s="7"/>
      <c r="AU518" s="7"/>
    </row>
    <row r="519" ht="15.75" customHeight="1">
      <c r="AT519" s="7"/>
      <c r="AU519" s="7"/>
    </row>
    <row r="520" ht="15.75" customHeight="1">
      <c r="AT520" s="7"/>
      <c r="AU520" s="7"/>
    </row>
    <row r="521" ht="15.75" customHeight="1">
      <c r="AT521" s="7"/>
      <c r="AU521" s="7"/>
    </row>
    <row r="522" ht="15.75" customHeight="1">
      <c r="AT522" s="7"/>
      <c r="AU522" s="7"/>
    </row>
    <row r="523" ht="15.75" customHeight="1">
      <c r="AT523" s="7"/>
      <c r="AU523" s="7"/>
    </row>
    <row r="524" ht="15.75" customHeight="1">
      <c r="AT524" s="7"/>
      <c r="AU524" s="7"/>
    </row>
    <row r="525" ht="15.75" customHeight="1">
      <c r="AT525" s="7"/>
      <c r="AU525" s="7"/>
    </row>
    <row r="526" ht="15.75" customHeight="1">
      <c r="AT526" s="7"/>
      <c r="AU526" s="7"/>
    </row>
    <row r="527" ht="15.75" customHeight="1">
      <c r="AT527" s="7"/>
      <c r="AU527" s="7"/>
    </row>
    <row r="528" ht="15.75" customHeight="1">
      <c r="AT528" s="7"/>
      <c r="AU528" s="7"/>
    </row>
    <row r="529" ht="15.75" customHeight="1">
      <c r="AT529" s="7"/>
      <c r="AU529" s="7"/>
    </row>
    <row r="530" ht="15.75" customHeight="1">
      <c r="AT530" s="7"/>
      <c r="AU530" s="7"/>
    </row>
    <row r="531" ht="15.75" customHeight="1">
      <c r="AT531" s="7"/>
      <c r="AU531" s="7"/>
    </row>
    <row r="532" ht="15.75" customHeight="1">
      <c r="AT532" s="7"/>
      <c r="AU532" s="7"/>
    </row>
    <row r="533" ht="15.75" customHeight="1">
      <c r="AT533" s="7"/>
      <c r="AU533" s="7"/>
    </row>
    <row r="534" ht="15.75" customHeight="1">
      <c r="AT534" s="7"/>
      <c r="AU534" s="7"/>
    </row>
    <row r="535" ht="15.75" customHeight="1">
      <c r="AT535" s="7"/>
      <c r="AU535" s="7"/>
    </row>
    <row r="536" ht="15.75" customHeight="1">
      <c r="AT536" s="7"/>
      <c r="AU536" s="7"/>
    </row>
    <row r="537" ht="15.75" customHeight="1">
      <c r="AT537" s="7"/>
      <c r="AU537" s="7"/>
    </row>
    <row r="538" ht="15.75" customHeight="1">
      <c r="AT538" s="7"/>
      <c r="AU538" s="7"/>
    </row>
    <row r="539" ht="15.75" customHeight="1">
      <c r="AT539" s="7"/>
      <c r="AU539" s="7"/>
    </row>
    <row r="540" ht="15.75" customHeight="1">
      <c r="AT540" s="7"/>
      <c r="AU540" s="7"/>
    </row>
    <row r="541" ht="15.75" customHeight="1">
      <c r="AT541" s="7"/>
      <c r="AU541" s="7"/>
    </row>
    <row r="542" ht="15.75" customHeight="1">
      <c r="AT542" s="7"/>
      <c r="AU542" s="7"/>
    </row>
    <row r="543" ht="15.75" customHeight="1">
      <c r="AT543" s="7"/>
      <c r="AU543" s="7"/>
    </row>
    <row r="544" ht="15.75" customHeight="1">
      <c r="AT544" s="7"/>
      <c r="AU544" s="7"/>
    </row>
    <row r="545" ht="15.75" customHeight="1">
      <c r="AT545" s="7"/>
      <c r="AU545" s="7"/>
    </row>
    <row r="546" ht="15.75" customHeight="1">
      <c r="AT546" s="7"/>
      <c r="AU546" s="7"/>
    </row>
    <row r="547" ht="15.75" customHeight="1">
      <c r="AT547" s="7"/>
      <c r="AU547" s="7"/>
    </row>
    <row r="548" ht="15.75" customHeight="1">
      <c r="AT548" s="7"/>
      <c r="AU548" s="7"/>
    </row>
    <row r="549" ht="15.75" customHeight="1">
      <c r="AT549" s="7"/>
      <c r="AU549" s="7"/>
    </row>
    <row r="550" ht="15.75" customHeight="1">
      <c r="AT550" s="7"/>
      <c r="AU550" s="7"/>
    </row>
    <row r="551" ht="15.75" customHeight="1">
      <c r="AT551" s="7"/>
      <c r="AU551" s="7"/>
    </row>
    <row r="552" ht="15.75" customHeight="1">
      <c r="AT552" s="7"/>
      <c r="AU552" s="7"/>
    </row>
    <row r="553" ht="15.75" customHeight="1">
      <c r="AT553" s="7"/>
      <c r="AU553" s="7"/>
    </row>
    <row r="554" ht="15.75" customHeight="1">
      <c r="AT554" s="7"/>
      <c r="AU554" s="7"/>
    </row>
    <row r="555" ht="15.75" customHeight="1">
      <c r="AT555" s="7"/>
      <c r="AU555" s="7"/>
    </row>
    <row r="556" ht="15.75" customHeight="1">
      <c r="AT556" s="7"/>
      <c r="AU556" s="7"/>
    </row>
    <row r="557" ht="15.75" customHeight="1">
      <c r="AT557" s="7"/>
      <c r="AU557" s="7"/>
    </row>
    <row r="558" ht="15.75" customHeight="1">
      <c r="AT558" s="7"/>
      <c r="AU558" s="7"/>
    </row>
    <row r="559" ht="15.75" customHeight="1">
      <c r="AT559" s="7"/>
      <c r="AU559" s="7"/>
    </row>
    <row r="560" ht="15.75" customHeight="1">
      <c r="AT560" s="7"/>
      <c r="AU560" s="7"/>
    </row>
    <row r="561" ht="15.75" customHeight="1">
      <c r="AT561" s="7"/>
      <c r="AU561" s="7"/>
    </row>
    <row r="562" ht="15.75" customHeight="1">
      <c r="AT562" s="7"/>
      <c r="AU562" s="7"/>
    </row>
    <row r="563" ht="15.75" customHeight="1">
      <c r="AT563" s="7"/>
      <c r="AU563" s="7"/>
    </row>
    <row r="564" ht="15.75" customHeight="1">
      <c r="AT564" s="7"/>
      <c r="AU564" s="7"/>
    </row>
    <row r="565" ht="15.75" customHeight="1">
      <c r="AT565" s="7"/>
      <c r="AU565" s="7"/>
    </row>
    <row r="566" ht="15.75" customHeight="1">
      <c r="AT566" s="7"/>
      <c r="AU566" s="7"/>
    </row>
    <row r="567" ht="15.75" customHeight="1">
      <c r="AT567" s="7"/>
      <c r="AU567" s="7"/>
    </row>
    <row r="568" ht="15.75" customHeight="1">
      <c r="AT568" s="7"/>
      <c r="AU568" s="7"/>
    </row>
    <row r="569" ht="15.75" customHeight="1">
      <c r="AT569" s="7"/>
      <c r="AU569" s="7"/>
    </row>
    <row r="570" ht="15.75" customHeight="1">
      <c r="AT570" s="7"/>
      <c r="AU570" s="7"/>
    </row>
    <row r="571" ht="15.75" customHeight="1">
      <c r="AT571" s="7"/>
      <c r="AU571" s="7"/>
    </row>
    <row r="572" ht="15.75" customHeight="1">
      <c r="AT572" s="7"/>
      <c r="AU572" s="7"/>
    </row>
    <row r="573" ht="15.75" customHeight="1">
      <c r="AT573" s="7"/>
      <c r="AU573" s="7"/>
    </row>
    <row r="574" ht="15.75" customHeight="1">
      <c r="AT574" s="7"/>
      <c r="AU574" s="7"/>
    </row>
    <row r="575" ht="15.75" customHeight="1">
      <c r="AT575" s="7"/>
      <c r="AU575" s="7"/>
    </row>
    <row r="576" ht="15.75" customHeight="1">
      <c r="AT576" s="7"/>
      <c r="AU576" s="7"/>
    </row>
    <row r="577" ht="15.75" customHeight="1">
      <c r="AT577" s="7"/>
      <c r="AU577" s="7"/>
    </row>
    <row r="578" ht="15.75" customHeight="1">
      <c r="AT578" s="7"/>
      <c r="AU578" s="7"/>
    </row>
    <row r="579" ht="15.75" customHeight="1">
      <c r="AT579" s="7"/>
      <c r="AU579" s="7"/>
    </row>
    <row r="580" ht="15.75" customHeight="1">
      <c r="AT580" s="7"/>
      <c r="AU580" s="7"/>
    </row>
    <row r="581" ht="15.75" customHeight="1">
      <c r="AT581" s="7"/>
      <c r="AU581" s="7"/>
    </row>
    <row r="582" ht="15.75" customHeight="1">
      <c r="AT582" s="7"/>
      <c r="AU582" s="7"/>
    </row>
    <row r="583" ht="15.75" customHeight="1">
      <c r="AT583" s="7"/>
      <c r="AU583" s="7"/>
    </row>
    <row r="584" ht="15.75" customHeight="1">
      <c r="AT584" s="7"/>
      <c r="AU584" s="7"/>
    </row>
    <row r="585" ht="15.75" customHeight="1">
      <c r="AT585" s="7"/>
      <c r="AU585" s="7"/>
    </row>
    <row r="586" ht="15.75" customHeight="1">
      <c r="AT586" s="7"/>
      <c r="AU586" s="7"/>
    </row>
    <row r="587" ht="15.75" customHeight="1">
      <c r="AT587" s="7"/>
      <c r="AU587" s="7"/>
    </row>
    <row r="588" ht="15.75" customHeight="1">
      <c r="AT588" s="7"/>
      <c r="AU588" s="7"/>
    </row>
    <row r="589" ht="15.75" customHeight="1">
      <c r="AT589" s="7"/>
      <c r="AU589" s="7"/>
    </row>
    <row r="590" ht="15.75" customHeight="1">
      <c r="AT590" s="7"/>
      <c r="AU590" s="7"/>
    </row>
    <row r="591" ht="15.75" customHeight="1">
      <c r="AT591" s="7"/>
      <c r="AU591" s="7"/>
    </row>
    <row r="592" ht="15.75" customHeight="1">
      <c r="AT592" s="7"/>
      <c r="AU592" s="7"/>
    </row>
    <row r="593" ht="15.75" customHeight="1">
      <c r="AT593" s="7"/>
      <c r="AU593" s="7"/>
    </row>
    <row r="594" ht="15.75" customHeight="1">
      <c r="AT594" s="7"/>
      <c r="AU594" s="7"/>
    </row>
    <row r="595" ht="15.75" customHeight="1">
      <c r="AT595" s="7"/>
      <c r="AU595" s="7"/>
    </row>
    <row r="596" ht="15.75" customHeight="1">
      <c r="AT596" s="7"/>
      <c r="AU596" s="7"/>
    </row>
    <row r="597" ht="15.75" customHeight="1">
      <c r="AT597" s="7"/>
      <c r="AU597" s="7"/>
    </row>
    <row r="598" ht="15.75" customHeight="1">
      <c r="AT598" s="7"/>
      <c r="AU598" s="7"/>
    </row>
    <row r="599" ht="15.75" customHeight="1">
      <c r="AT599" s="7"/>
      <c r="AU599" s="7"/>
    </row>
    <row r="600" ht="15.75" customHeight="1">
      <c r="AT600" s="7"/>
      <c r="AU600" s="7"/>
    </row>
    <row r="601" ht="15.75" customHeight="1">
      <c r="AT601" s="7"/>
      <c r="AU601" s="7"/>
    </row>
    <row r="602" ht="15.75" customHeight="1">
      <c r="AT602" s="7"/>
      <c r="AU602" s="7"/>
    </row>
    <row r="603" ht="15.75" customHeight="1">
      <c r="AT603" s="7"/>
      <c r="AU603" s="7"/>
    </row>
    <row r="604" ht="15.75" customHeight="1">
      <c r="AT604" s="7"/>
      <c r="AU604" s="7"/>
    </row>
    <row r="605" ht="15.75" customHeight="1">
      <c r="AT605" s="7"/>
      <c r="AU605" s="7"/>
    </row>
    <row r="606" ht="15.75" customHeight="1">
      <c r="AT606" s="7"/>
      <c r="AU606" s="7"/>
    </row>
    <row r="607" ht="15.75" customHeight="1">
      <c r="AT607" s="7"/>
      <c r="AU607" s="7"/>
    </row>
    <row r="608" ht="15.75" customHeight="1">
      <c r="AT608" s="7"/>
      <c r="AU608" s="7"/>
    </row>
    <row r="609" ht="15.75" customHeight="1">
      <c r="AT609" s="7"/>
      <c r="AU609" s="7"/>
    </row>
    <row r="610" ht="15.75" customHeight="1">
      <c r="AT610" s="7"/>
      <c r="AU610" s="7"/>
    </row>
    <row r="611" ht="15.75" customHeight="1">
      <c r="AT611" s="7"/>
      <c r="AU611" s="7"/>
    </row>
    <row r="612" ht="15.75" customHeight="1">
      <c r="AT612" s="7"/>
      <c r="AU612" s="7"/>
    </row>
    <row r="613" ht="15.75" customHeight="1">
      <c r="AT613" s="7"/>
      <c r="AU613" s="7"/>
    </row>
    <row r="614" ht="15.75" customHeight="1">
      <c r="AT614" s="7"/>
      <c r="AU614" s="7"/>
    </row>
    <row r="615" ht="15.75" customHeight="1">
      <c r="AT615" s="7"/>
      <c r="AU615" s="7"/>
    </row>
    <row r="616" ht="15.75" customHeight="1">
      <c r="AT616" s="7"/>
      <c r="AU616" s="7"/>
    </row>
    <row r="617" ht="15.75" customHeight="1">
      <c r="AT617" s="7"/>
      <c r="AU617" s="7"/>
    </row>
    <row r="618" ht="15.75" customHeight="1">
      <c r="AT618" s="7"/>
      <c r="AU618" s="7"/>
    </row>
    <row r="619" ht="15.75" customHeight="1">
      <c r="AT619" s="7"/>
      <c r="AU619" s="7"/>
    </row>
    <row r="620" ht="15.75" customHeight="1">
      <c r="AT620" s="7"/>
      <c r="AU620" s="7"/>
    </row>
    <row r="621" ht="15.75" customHeight="1">
      <c r="AT621" s="7"/>
      <c r="AU621" s="7"/>
    </row>
    <row r="622" ht="15.75" customHeight="1">
      <c r="AT622" s="7"/>
      <c r="AU622" s="7"/>
    </row>
    <row r="623" ht="15.75" customHeight="1">
      <c r="AT623" s="7"/>
      <c r="AU623" s="7"/>
    </row>
    <row r="624" ht="15.75" customHeight="1">
      <c r="AT624" s="7"/>
      <c r="AU624" s="7"/>
    </row>
    <row r="625" ht="15.75" customHeight="1">
      <c r="AT625" s="7"/>
      <c r="AU625" s="7"/>
    </row>
    <row r="626" ht="15.75" customHeight="1">
      <c r="AT626" s="7"/>
      <c r="AU626" s="7"/>
    </row>
    <row r="627" ht="15.75" customHeight="1">
      <c r="AT627" s="7"/>
      <c r="AU627" s="7"/>
    </row>
    <row r="628" ht="15.75" customHeight="1">
      <c r="AT628" s="7"/>
      <c r="AU628" s="7"/>
    </row>
    <row r="629" ht="15.75" customHeight="1">
      <c r="AT629" s="7"/>
      <c r="AU629" s="7"/>
    </row>
    <row r="630" ht="15.75" customHeight="1">
      <c r="AT630" s="7"/>
      <c r="AU630" s="7"/>
    </row>
    <row r="631" ht="15.75" customHeight="1">
      <c r="AT631" s="7"/>
      <c r="AU631" s="7"/>
    </row>
    <row r="632" ht="15.75" customHeight="1">
      <c r="AT632" s="7"/>
      <c r="AU632" s="7"/>
    </row>
    <row r="633" ht="15.75" customHeight="1">
      <c r="AT633" s="7"/>
      <c r="AU633" s="7"/>
    </row>
    <row r="634" ht="15.75" customHeight="1">
      <c r="AT634" s="7"/>
      <c r="AU634" s="7"/>
    </row>
    <row r="635" ht="15.75" customHeight="1">
      <c r="AT635" s="7"/>
      <c r="AU635" s="7"/>
    </row>
    <row r="636" ht="15.75" customHeight="1">
      <c r="AT636" s="7"/>
      <c r="AU636" s="7"/>
    </row>
    <row r="637" ht="15.75" customHeight="1">
      <c r="AT637" s="7"/>
      <c r="AU637" s="7"/>
    </row>
    <row r="638" ht="15.75" customHeight="1">
      <c r="AT638" s="7"/>
      <c r="AU638" s="7"/>
    </row>
    <row r="639" ht="15.75" customHeight="1">
      <c r="AT639" s="7"/>
      <c r="AU639" s="7"/>
    </row>
    <row r="640" ht="15.75" customHeight="1">
      <c r="AT640" s="7"/>
      <c r="AU640" s="7"/>
    </row>
    <row r="641" ht="15.75" customHeight="1">
      <c r="AT641" s="7"/>
      <c r="AU641" s="7"/>
    </row>
    <row r="642" ht="15.75" customHeight="1">
      <c r="AT642" s="7"/>
      <c r="AU642" s="7"/>
    </row>
    <row r="643" ht="15.75" customHeight="1">
      <c r="AT643" s="7"/>
      <c r="AU643" s="7"/>
    </row>
    <row r="644" ht="15.75" customHeight="1">
      <c r="AT644" s="7"/>
      <c r="AU644" s="7"/>
    </row>
    <row r="645" ht="15.75" customHeight="1">
      <c r="AT645" s="7"/>
      <c r="AU645" s="7"/>
    </row>
    <row r="646" ht="15.75" customHeight="1">
      <c r="AT646" s="7"/>
      <c r="AU646" s="7"/>
    </row>
    <row r="647" ht="15.75" customHeight="1">
      <c r="AT647" s="7"/>
      <c r="AU647" s="7"/>
    </row>
    <row r="648" ht="15.75" customHeight="1">
      <c r="AT648" s="7"/>
      <c r="AU648" s="7"/>
    </row>
    <row r="649" ht="15.75" customHeight="1">
      <c r="AT649" s="7"/>
      <c r="AU649" s="7"/>
    </row>
    <row r="650" ht="15.75" customHeight="1">
      <c r="AT650" s="7"/>
      <c r="AU650" s="7"/>
    </row>
    <row r="651" ht="15.75" customHeight="1">
      <c r="AT651" s="7"/>
      <c r="AU651" s="7"/>
    </row>
    <row r="652" ht="15.75" customHeight="1">
      <c r="AT652" s="7"/>
      <c r="AU652" s="7"/>
    </row>
    <row r="653" ht="15.75" customHeight="1">
      <c r="AT653" s="7"/>
      <c r="AU653" s="7"/>
    </row>
    <row r="654" ht="15.75" customHeight="1">
      <c r="AT654" s="7"/>
      <c r="AU654" s="7"/>
    </row>
    <row r="655" ht="15.75" customHeight="1">
      <c r="AT655" s="7"/>
      <c r="AU655" s="7"/>
    </row>
    <row r="656" ht="15.75" customHeight="1">
      <c r="AT656" s="7"/>
      <c r="AU656" s="7"/>
    </row>
    <row r="657" ht="15.75" customHeight="1">
      <c r="AT657" s="7"/>
      <c r="AU657" s="7"/>
    </row>
    <row r="658" ht="15.75" customHeight="1">
      <c r="AT658" s="7"/>
      <c r="AU658" s="7"/>
    </row>
    <row r="659" ht="15.75" customHeight="1">
      <c r="AT659" s="7"/>
      <c r="AU659" s="7"/>
    </row>
    <row r="660" ht="15.75" customHeight="1">
      <c r="AT660" s="7"/>
      <c r="AU660" s="7"/>
    </row>
    <row r="661" ht="15.75" customHeight="1">
      <c r="AT661" s="7"/>
      <c r="AU661" s="7"/>
    </row>
    <row r="662" ht="15.75" customHeight="1">
      <c r="AT662" s="7"/>
      <c r="AU662" s="7"/>
    </row>
    <row r="663" ht="15.75" customHeight="1">
      <c r="AT663" s="7"/>
      <c r="AU663" s="7"/>
    </row>
    <row r="664" ht="15.75" customHeight="1">
      <c r="AT664" s="7"/>
      <c r="AU664" s="7"/>
    </row>
    <row r="665" ht="15.75" customHeight="1">
      <c r="AT665" s="7"/>
      <c r="AU665" s="7"/>
    </row>
    <row r="666" ht="15.75" customHeight="1">
      <c r="AT666" s="7"/>
      <c r="AU666" s="7"/>
    </row>
    <row r="667" ht="15.75" customHeight="1">
      <c r="AT667" s="7"/>
      <c r="AU667" s="7"/>
    </row>
    <row r="668" ht="15.75" customHeight="1">
      <c r="AT668" s="7"/>
      <c r="AU668" s="7"/>
    </row>
    <row r="669" ht="15.75" customHeight="1">
      <c r="AT669" s="7"/>
      <c r="AU669" s="7"/>
    </row>
    <row r="670" ht="15.75" customHeight="1">
      <c r="AT670" s="7"/>
      <c r="AU670" s="7"/>
    </row>
    <row r="671" ht="15.75" customHeight="1">
      <c r="AT671" s="7"/>
      <c r="AU671" s="7"/>
    </row>
    <row r="672" ht="15.75" customHeight="1">
      <c r="AT672" s="7"/>
      <c r="AU672" s="7"/>
    </row>
    <row r="673" ht="15.75" customHeight="1">
      <c r="AT673" s="7"/>
      <c r="AU673" s="7"/>
    </row>
    <row r="674" ht="15.75" customHeight="1">
      <c r="AT674" s="7"/>
      <c r="AU674" s="7"/>
    </row>
    <row r="675" ht="15.75" customHeight="1">
      <c r="AT675" s="7"/>
      <c r="AU675" s="7"/>
    </row>
    <row r="676" ht="15.75" customHeight="1">
      <c r="AT676" s="7"/>
      <c r="AU676" s="7"/>
    </row>
    <row r="677" ht="15.75" customHeight="1">
      <c r="AT677" s="7"/>
      <c r="AU677" s="7"/>
    </row>
    <row r="678" ht="15.75" customHeight="1">
      <c r="AT678" s="7"/>
      <c r="AU678" s="7"/>
    </row>
    <row r="679" ht="15.75" customHeight="1">
      <c r="AT679" s="7"/>
      <c r="AU679" s="7"/>
    </row>
    <row r="680" ht="15.75" customHeight="1">
      <c r="AT680" s="7"/>
      <c r="AU680" s="7"/>
    </row>
    <row r="681" ht="15.75" customHeight="1">
      <c r="AT681" s="7"/>
      <c r="AU681" s="7"/>
    </row>
    <row r="682" ht="15.75" customHeight="1">
      <c r="AT682" s="7"/>
      <c r="AU682" s="7"/>
    </row>
    <row r="683" ht="15.75" customHeight="1">
      <c r="AT683" s="7"/>
      <c r="AU683" s="7"/>
    </row>
    <row r="684" ht="15.75" customHeight="1">
      <c r="AT684" s="7"/>
      <c r="AU684" s="7"/>
    </row>
    <row r="685" ht="15.75" customHeight="1">
      <c r="AT685" s="7"/>
      <c r="AU685" s="7"/>
    </row>
    <row r="686" ht="15.75" customHeight="1">
      <c r="AT686" s="7"/>
      <c r="AU686" s="7"/>
    </row>
    <row r="687" ht="15.75" customHeight="1">
      <c r="AT687" s="7"/>
      <c r="AU687" s="7"/>
    </row>
    <row r="688" ht="15.75" customHeight="1">
      <c r="AT688" s="7"/>
      <c r="AU688" s="7"/>
    </row>
    <row r="689" ht="15.75" customHeight="1">
      <c r="AT689" s="7"/>
      <c r="AU689" s="7"/>
    </row>
    <row r="690" ht="15.75" customHeight="1">
      <c r="AT690" s="7"/>
      <c r="AU690" s="7"/>
    </row>
    <row r="691" ht="15.75" customHeight="1">
      <c r="AT691" s="7"/>
      <c r="AU691" s="7"/>
    </row>
    <row r="692" ht="15.75" customHeight="1">
      <c r="AT692" s="7"/>
      <c r="AU692" s="7"/>
    </row>
    <row r="693" ht="15.75" customHeight="1">
      <c r="AT693" s="7"/>
      <c r="AU693" s="7"/>
    </row>
    <row r="694" ht="15.75" customHeight="1">
      <c r="AT694" s="7"/>
      <c r="AU694" s="7"/>
    </row>
    <row r="695" ht="15.75" customHeight="1">
      <c r="AT695" s="7"/>
      <c r="AU695" s="7"/>
    </row>
    <row r="696" ht="15.75" customHeight="1">
      <c r="AT696" s="7"/>
      <c r="AU696" s="7"/>
    </row>
    <row r="697" ht="15.75" customHeight="1">
      <c r="AT697" s="7"/>
      <c r="AU697" s="7"/>
    </row>
    <row r="698" ht="15.75" customHeight="1">
      <c r="AT698" s="7"/>
      <c r="AU698" s="7"/>
    </row>
    <row r="699" ht="15.75" customHeight="1">
      <c r="AT699" s="7"/>
      <c r="AU699" s="7"/>
    </row>
    <row r="700" ht="15.75" customHeight="1">
      <c r="AT700" s="7"/>
      <c r="AU700" s="7"/>
    </row>
    <row r="701" ht="15.75" customHeight="1">
      <c r="AT701" s="7"/>
      <c r="AU701" s="7"/>
    </row>
    <row r="702" ht="15.75" customHeight="1">
      <c r="AT702" s="7"/>
      <c r="AU702" s="7"/>
    </row>
    <row r="703" ht="15.75" customHeight="1">
      <c r="AT703" s="7"/>
      <c r="AU703" s="7"/>
    </row>
    <row r="704" ht="15.75" customHeight="1">
      <c r="AT704" s="7"/>
      <c r="AU704" s="7"/>
    </row>
    <row r="705" ht="15.75" customHeight="1">
      <c r="AT705" s="7"/>
      <c r="AU705" s="7"/>
    </row>
    <row r="706" ht="15.75" customHeight="1">
      <c r="AT706" s="7"/>
      <c r="AU706" s="7"/>
    </row>
    <row r="707" ht="15.75" customHeight="1">
      <c r="AT707" s="7"/>
      <c r="AU707" s="7"/>
    </row>
    <row r="708" ht="15.75" customHeight="1">
      <c r="AT708" s="7"/>
      <c r="AU708" s="7"/>
    </row>
    <row r="709" ht="15.75" customHeight="1">
      <c r="AT709" s="7"/>
      <c r="AU709" s="7"/>
    </row>
    <row r="710" ht="15.75" customHeight="1">
      <c r="AT710" s="7"/>
      <c r="AU710" s="7"/>
    </row>
    <row r="711" ht="15.75" customHeight="1">
      <c r="AT711" s="7"/>
      <c r="AU711" s="7"/>
    </row>
    <row r="712" ht="15.75" customHeight="1">
      <c r="AT712" s="7"/>
      <c r="AU712" s="7"/>
    </row>
    <row r="713" ht="15.75" customHeight="1">
      <c r="AT713" s="7"/>
      <c r="AU713" s="7"/>
    </row>
    <row r="714" ht="15.75" customHeight="1">
      <c r="AT714" s="7"/>
      <c r="AU714" s="7"/>
    </row>
    <row r="715" ht="15.75" customHeight="1">
      <c r="AT715" s="7"/>
      <c r="AU715" s="7"/>
    </row>
    <row r="716" ht="15.75" customHeight="1">
      <c r="AT716" s="7"/>
      <c r="AU716" s="7"/>
    </row>
    <row r="717" ht="15.75" customHeight="1">
      <c r="AT717" s="7"/>
      <c r="AU717" s="7"/>
    </row>
    <row r="718" ht="15.75" customHeight="1">
      <c r="AT718" s="7"/>
      <c r="AU718" s="7"/>
    </row>
    <row r="719" ht="15.75" customHeight="1">
      <c r="AT719" s="7"/>
      <c r="AU719" s="7"/>
    </row>
    <row r="720" ht="15.75" customHeight="1">
      <c r="AT720" s="7"/>
      <c r="AU720" s="7"/>
    </row>
    <row r="721" ht="15.75" customHeight="1">
      <c r="AT721" s="7"/>
      <c r="AU721" s="7"/>
    </row>
    <row r="722" ht="15.75" customHeight="1">
      <c r="AT722" s="7"/>
      <c r="AU722" s="7"/>
    </row>
    <row r="723" ht="15.75" customHeight="1">
      <c r="AT723" s="7"/>
      <c r="AU723" s="7"/>
    </row>
    <row r="724" ht="15.75" customHeight="1">
      <c r="AT724" s="7"/>
      <c r="AU724" s="7"/>
    </row>
    <row r="725" ht="15.75" customHeight="1">
      <c r="AT725" s="7"/>
      <c r="AU725" s="7"/>
    </row>
    <row r="726" ht="15.75" customHeight="1">
      <c r="AT726" s="7"/>
      <c r="AU726" s="7"/>
    </row>
    <row r="727" ht="15.75" customHeight="1">
      <c r="AT727" s="7"/>
      <c r="AU727" s="7"/>
    </row>
    <row r="728" ht="15.75" customHeight="1">
      <c r="AT728" s="7"/>
      <c r="AU728" s="7"/>
    </row>
    <row r="729" ht="15.75" customHeight="1">
      <c r="AT729" s="7"/>
      <c r="AU729" s="7"/>
    </row>
    <row r="730" ht="15.75" customHeight="1">
      <c r="AT730" s="7"/>
      <c r="AU730" s="7"/>
    </row>
    <row r="731" ht="15.75" customHeight="1">
      <c r="AT731" s="7"/>
      <c r="AU731" s="7"/>
    </row>
    <row r="732" ht="15.75" customHeight="1">
      <c r="AT732" s="7"/>
      <c r="AU732" s="7"/>
    </row>
    <row r="733" ht="15.75" customHeight="1">
      <c r="AT733" s="7"/>
      <c r="AU733" s="7"/>
    </row>
    <row r="734" ht="15.75" customHeight="1">
      <c r="AT734" s="7"/>
      <c r="AU734" s="7"/>
    </row>
    <row r="735" ht="15.75" customHeight="1">
      <c r="AT735" s="7"/>
      <c r="AU735" s="7"/>
    </row>
    <row r="736" ht="15.75" customHeight="1">
      <c r="AT736" s="7"/>
      <c r="AU736" s="7"/>
    </row>
    <row r="737" ht="15.75" customHeight="1">
      <c r="AT737" s="7"/>
      <c r="AU737" s="7"/>
    </row>
    <row r="738" ht="15.75" customHeight="1">
      <c r="AT738" s="7"/>
      <c r="AU738" s="7"/>
    </row>
    <row r="739" ht="15.75" customHeight="1">
      <c r="AT739" s="7"/>
      <c r="AU739" s="7"/>
    </row>
    <row r="740" ht="15.75" customHeight="1">
      <c r="AT740" s="7"/>
      <c r="AU740" s="7"/>
    </row>
    <row r="741" ht="15.75" customHeight="1">
      <c r="AT741" s="7"/>
      <c r="AU741" s="7"/>
    </row>
    <row r="742" ht="15.75" customHeight="1">
      <c r="AT742" s="7"/>
      <c r="AU742" s="7"/>
    </row>
    <row r="743" ht="15.75" customHeight="1">
      <c r="AT743" s="7"/>
      <c r="AU743" s="7"/>
    </row>
    <row r="744" ht="15.75" customHeight="1">
      <c r="AT744" s="7"/>
      <c r="AU744" s="7"/>
    </row>
    <row r="745" ht="15.75" customHeight="1">
      <c r="AT745" s="7"/>
      <c r="AU745" s="7"/>
    </row>
    <row r="746" ht="15.75" customHeight="1">
      <c r="AT746" s="7"/>
      <c r="AU746" s="7"/>
    </row>
    <row r="747" ht="15.75" customHeight="1">
      <c r="AT747" s="7"/>
      <c r="AU747" s="7"/>
    </row>
    <row r="748" ht="15.75" customHeight="1">
      <c r="AT748" s="7"/>
      <c r="AU748" s="7"/>
    </row>
    <row r="749" ht="15.75" customHeight="1">
      <c r="AT749" s="7"/>
      <c r="AU749" s="7"/>
    </row>
    <row r="750" ht="15.75" customHeight="1">
      <c r="AT750" s="7"/>
      <c r="AU750" s="7"/>
    </row>
    <row r="751" ht="15.75" customHeight="1">
      <c r="AT751" s="7"/>
      <c r="AU751" s="7"/>
    </row>
    <row r="752" ht="15.75" customHeight="1">
      <c r="AT752" s="7"/>
      <c r="AU752" s="7"/>
    </row>
    <row r="753" ht="15.75" customHeight="1">
      <c r="AT753" s="7"/>
      <c r="AU753" s="7"/>
    </row>
    <row r="754" ht="15.75" customHeight="1">
      <c r="AT754" s="7"/>
      <c r="AU754" s="7"/>
    </row>
    <row r="755" ht="15.75" customHeight="1">
      <c r="AT755" s="7"/>
      <c r="AU755" s="7"/>
    </row>
    <row r="756" ht="15.75" customHeight="1">
      <c r="AT756" s="7"/>
      <c r="AU756" s="7"/>
    </row>
    <row r="757" ht="15.75" customHeight="1">
      <c r="AT757" s="7"/>
      <c r="AU757" s="7"/>
    </row>
    <row r="758" ht="15.75" customHeight="1">
      <c r="AT758" s="7"/>
      <c r="AU758" s="7"/>
    </row>
    <row r="759" ht="15.75" customHeight="1">
      <c r="AT759" s="7"/>
      <c r="AU759" s="7"/>
    </row>
    <row r="760" ht="15.75" customHeight="1">
      <c r="AT760" s="7"/>
      <c r="AU760" s="7"/>
    </row>
    <row r="761" ht="15.75" customHeight="1">
      <c r="AT761" s="7"/>
      <c r="AU761" s="7"/>
    </row>
    <row r="762" ht="15.75" customHeight="1">
      <c r="AT762" s="7"/>
      <c r="AU762" s="7"/>
    </row>
    <row r="763" ht="15.75" customHeight="1">
      <c r="AT763" s="7"/>
      <c r="AU763" s="7"/>
    </row>
    <row r="764" ht="15.75" customHeight="1">
      <c r="AT764" s="7"/>
      <c r="AU764" s="7"/>
    </row>
    <row r="765" ht="15.75" customHeight="1">
      <c r="AT765" s="7"/>
      <c r="AU765" s="7"/>
    </row>
    <row r="766" ht="15.75" customHeight="1">
      <c r="AT766" s="7"/>
      <c r="AU766" s="7"/>
    </row>
    <row r="767" ht="15.75" customHeight="1">
      <c r="AT767" s="7"/>
      <c r="AU767" s="7"/>
    </row>
    <row r="768" ht="15.75" customHeight="1">
      <c r="AT768" s="7"/>
      <c r="AU768" s="7"/>
    </row>
    <row r="769" ht="15.75" customHeight="1">
      <c r="AT769" s="7"/>
      <c r="AU769" s="7"/>
    </row>
    <row r="770" ht="15.75" customHeight="1">
      <c r="AT770" s="7"/>
      <c r="AU770" s="7"/>
    </row>
    <row r="771" ht="15.75" customHeight="1">
      <c r="AT771" s="7"/>
      <c r="AU771" s="7"/>
    </row>
    <row r="772" ht="15.75" customHeight="1">
      <c r="AT772" s="7"/>
      <c r="AU772" s="7"/>
    </row>
    <row r="773" ht="15.75" customHeight="1">
      <c r="AT773" s="7"/>
      <c r="AU773" s="7"/>
    </row>
    <row r="774" ht="15.75" customHeight="1">
      <c r="AT774" s="7"/>
      <c r="AU774" s="7"/>
    </row>
    <row r="775" ht="15.75" customHeight="1">
      <c r="AT775" s="7"/>
      <c r="AU775" s="7"/>
    </row>
    <row r="776" ht="15.75" customHeight="1">
      <c r="AT776" s="7"/>
      <c r="AU776" s="7"/>
    </row>
    <row r="777" ht="15.75" customHeight="1">
      <c r="AT777" s="7"/>
      <c r="AU777" s="7"/>
    </row>
    <row r="778" ht="15.75" customHeight="1">
      <c r="AT778" s="7"/>
      <c r="AU778" s="7"/>
    </row>
    <row r="779" ht="15.75" customHeight="1">
      <c r="AT779" s="7"/>
      <c r="AU779" s="7"/>
    </row>
    <row r="780" ht="15.75" customHeight="1">
      <c r="AT780" s="7"/>
      <c r="AU780" s="7"/>
    </row>
    <row r="781" ht="15.75" customHeight="1">
      <c r="AT781" s="7"/>
      <c r="AU781" s="7"/>
    </row>
    <row r="782" ht="15.75" customHeight="1">
      <c r="AT782" s="7"/>
      <c r="AU782" s="7"/>
    </row>
    <row r="783" ht="15.75" customHeight="1">
      <c r="AT783" s="7"/>
      <c r="AU783" s="7"/>
    </row>
    <row r="784" ht="15.75" customHeight="1">
      <c r="AT784" s="7"/>
      <c r="AU784" s="7"/>
    </row>
    <row r="785" ht="15.75" customHeight="1">
      <c r="AT785" s="7"/>
      <c r="AU785" s="7"/>
    </row>
    <row r="786" ht="15.75" customHeight="1">
      <c r="AT786" s="7"/>
      <c r="AU786" s="7"/>
    </row>
    <row r="787" ht="15.75" customHeight="1">
      <c r="AT787" s="7"/>
      <c r="AU787" s="7"/>
    </row>
    <row r="788" ht="15.75" customHeight="1">
      <c r="AT788" s="7"/>
      <c r="AU788" s="7"/>
    </row>
    <row r="789" ht="15.75" customHeight="1">
      <c r="AT789" s="7"/>
      <c r="AU789" s="7"/>
    </row>
    <row r="790" ht="15.75" customHeight="1">
      <c r="AT790" s="7"/>
      <c r="AU790" s="7"/>
    </row>
    <row r="791" ht="15.75" customHeight="1">
      <c r="AT791" s="7"/>
      <c r="AU791" s="7"/>
    </row>
    <row r="792" ht="15.75" customHeight="1">
      <c r="AT792" s="7"/>
      <c r="AU792" s="7"/>
    </row>
    <row r="793" ht="15.75" customHeight="1">
      <c r="AT793" s="7"/>
      <c r="AU793" s="7"/>
    </row>
    <row r="794" ht="15.75" customHeight="1">
      <c r="AT794" s="7"/>
      <c r="AU794" s="7"/>
    </row>
    <row r="795" ht="15.75" customHeight="1">
      <c r="AT795" s="7"/>
      <c r="AU795" s="7"/>
    </row>
    <row r="796" ht="15.75" customHeight="1">
      <c r="AT796" s="7"/>
      <c r="AU796" s="7"/>
    </row>
    <row r="797" ht="15.75" customHeight="1">
      <c r="AT797" s="7"/>
      <c r="AU797" s="7"/>
    </row>
    <row r="798" ht="15.75" customHeight="1">
      <c r="AT798" s="7"/>
      <c r="AU798" s="7"/>
    </row>
    <row r="799" ht="15.75" customHeight="1">
      <c r="AT799" s="7"/>
      <c r="AU799" s="7"/>
    </row>
    <row r="800" ht="15.75" customHeight="1">
      <c r="AT800" s="7"/>
      <c r="AU800" s="7"/>
    </row>
    <row r="801" ht="15.75" customHeight="1">
      <c r="AT801" s="7"/>
      <c r="AU801" s="7"/>
    </row>
    <row r="802" ht="15.75" customHeight="1">
      <c r="AT802" s="7"/>
      <c r="AU802" s="7"/>
    </row>
    <row r="803" ht="15.75" customHeight="1">
      <c r="AT803" s="7"/>
      <c r="AU803" s="7"/>
    </row>
    <row r="804" ht="15.75" customHeight="1">
      <c r="AT804" s="7"/>
      <c r="AU804" s="7"/>
    </row>
    <row r="805" ht="15.75" customHeight="1">
      <c r="AT805" s="7"/>
      <c r="AU805" s="7"/>
    </row>
    <row r="806" ht="15.75" customHeight="1">
      <c r="AT806" s="7"/>
      <c r="AU806" s="7"/>
    </row>
    <row r="807" ht="15.75" customHeight="1">
      <c r="AT807" s="7"/>
      <c r="AU807" s="7"/>
    </row>
    <row r="808" ht="15.75" customHeight="1">
      <c r="AT808" s="7"/>
      <c r="AU808" s="7"/>
    </row>
    <row r="809" ht="15.75" customHeight="1">
      <c r="AT809" s="7"/>
      <c r="AU809" s="7"/>
    </row>
    <row r="810" ht="15.75" customHeight="1">
      <c r="AT810" s="7"/>
      <c r="AU810" s="7"/>
    </row>
    <row r="811" ht="15.75" customHeight="1">
      <c r="AT811" s="7"/>
      <c r="AU811" s="7"/>
    </row>
    <row r="812" ht="15.75" customHeight="1">
      <c r="AT812" s="7"/>
      <c r="AU812" s="7"/>
    </row>
    <row r="813" ht="15.75" customHeight="1">
      <c r="AT813" s="7"/>
      <c r="AU813" s="7"/>
    </row>
    <row r="814" ht="15.75" customHeight="1">
      <c r="AT814" s="7"/>
      <c r="AU814" s="7"/>
    </row>
    <row r="815" ht="15.75" customHeight="1">
      <c r="AT815" s="7"/>
      <c r="AU815" s="7"/>
    </row>
    <row r="816" ht="15.75" customHeight="1">
      <c r="AT816" s="7"/>
      <c r="AU816" s="7"/>
    </row>
    <row r="817" ht="15.75" customHeight="1">
      <c r="AT817" s="7"/>
      <c r="AU817" s="7"/>
    </row>
    <row r="818" ht="15.75" customHeight="1">
      <c r="AT818" s="7"/>
      <c r="AU818" s="7"/>
    </row>
    <row r="819" ht="15.75" customHeight="1">
      <c r="AT819" s="7"/>
      <c r="AU819" s="7"/>
    </row>
    <row r="820" ht="15.75" customHeight="1">
      <c r="AT820" s="7"/>
      <c r="AU820" s="7"/>
    </row>
    <row r="821" ht="15.75" customHeight="1">
      <c r="AT821" s="7"/>
      <c r="AU821" s="7"/>
    </row>
    <row r="822" ht="15.75" customHeight="1">
      <c r="AT822" s="7"/>
      <c r="AU822" s="7"/>
    </row>
    <row r="823" ht="15.75" customHeight="1">
      <c r="AT823" s="7"/>
      <c r="AU823" s="7"/>
    </row>
    <row r="824" ht="15.75" customHeight="1">
      <c r="AT824" s="7"/>
      <c r="AU824" s="7"/>
    </row>
    <row r="825" ht="15.75" customHeight="1">
      <c r="AT825" s="7"/>
      <c r="AU825" s="7"/>
    </row>
    <row r="826" ht="15.75" customHeight="1">
      <c r="AT826" s="7"/>
      <c r="AU826" s="7"/>
    </row>
    <row r="827" ht="15.75" customHeight="1">
      <c r="AT827" s="7"/>
      <c r="AU827" s="7"/>
    </row>
    <row r="828" ht="15.75" customHeight="1">
      <c r="AT828" s="7"/>
      <c r="AU828" s="7"/>
    </row>
    <row r="829" ht="15.75" customHeight="1">
      <c r="AT829" s="7"/>
      <c r="AU829" s="7"/>
    </row>
    <row r="830" ht="15.75" customHeight="1">
      <c r="AT830" s="7"/>
      <c r="AU830" s="7"/>
    </row>
    <row r="831" ht="15.75" customHeight="1">
      <c r="AT831" s="7"/>
      <c r="AU831" s="7"/>
    </row>
    <row r="832" ht="15.75" customHeight="1">
      <c r="AT832" s="7"/>
      <c r="AU832" s="7"/>
    </row>
    <row r="833" ht="15.75" customHeight="1">
      <c r="AT833" s="7"/>
      <c r="AU833" s="7"/>
    </row>
    <row r="834" ht="15.75" customHeight="1">
      <c r="AT834" s="7"/>
      <c r="AU834" s="7"/>
    </row>
    <row r="835" ht="15.75" customHeight="1">
      <c r="AT835" s="7"/>
      <c r="AU835" s="7"/>
    </row>
    <row r="836" ht="15.75" customHeight="1">
      <c r="AT836" s="7"/>
      <c r="AU836" s="7"/>
    </row>
    <row r="837" ht="15.75" customHeight="1">
      <c r="AT837" s="7"/>
      <c r="AU837" s="7"/>
    </row>
    <row r="838" ht="15.75" customHeight="1">
      <c r="AT838" s="7"/>
      <c r="AU838" s="7"/>
    </row>
    <row r="839" ht="15.75" customHeight="1">
      <c r="AT839" s="7"/>
      <c r="AU839" s="7"/>
    </row>
    <row r="840" ht="15.75" customHeight="1">
      <c r="AT840" s="7"/>
      <c r="AU840" s="7"/>
    </row>
    <row r="841" ht="15.75" customHeight="1">
      <c r="AT841" s="7"/>
      <c r="AU841" s="7"/>
    </row>
    <row r="842" ht="15.75" customHeight="1">
      <c r="AT842" s="7"/>
      <c r="AU842" s="7"/>
    </row>
    <row r="843" ht="15.75" customHeight="1">
      <c r="AT843" s="7"/>
      <c r="AU843" s="7"/>
    </row>
    <row r="844" ht="15.75" customHeight="1">
      <c r="AT844" s="7"/>
      <c r="AU844" s="7"/>
    </row>
    <row r="845" ht="15.75" customHeight="1">
      <c r="AT845" s="7"/>
      <c r="AU845" s="7"/>
    </row>
    <row r="846" ht="15.75" customHeight="1">
      <c r="AT846" s="7"/>
      <c r="AU846" s="7"/>
    </row>
    <row r="847" ht="15.75" customHeight="1">
      <c r="AT847" s="7"/>
      <c r="AU847" s="7"/>
    </row>
    <row r="848" ht="15.75" customHeight="1">
      <c r="AT848" s="7"/>
      <c r="AU848" s="7"/>
    </row>
    <row r="849" ht="15.75" customHeight="1">
      <c r="AT849" s="7"/>
      <c r="AU849" s="7"/>
    </row>
    <row r="850" ht="15.75" customHeight="1">
      <c r="AT850" s="7"/>
      <c r="AU850" s="7"/>
    </row>
    <row r="851" ht="15.75" customHeight="1">
      <c r="AT851" s="7"/>
      <c r="AU851" s="7"/>
    </row>
    <row r="852" ht="15.75" customHeight="1">
      <c r="AT852" s="7"/>
      <c r="AU852" s="7"/>
    </row>
    <row r="853" ht="15.75" customHeight="1">
      <c r="AT853" s="7"/>
      <c r="AU853" s="7"/>
    </row>
    <row r="854" ht="15.75" customHeight="1">
      <c r="AT854" s="7"/>
      <c r="AU854" s="7"/>
    </row>
    <row r="855" ht="15.75" customHeight="1">
      <c r="AT855" s="7"/>
      <c r="AU855" s="7"/>
    </row>
    <row r="856" ht="15.75" customHeight="1">
      <c r="AT856" s="7"/>
      <c r="AU856" s="7"/>
    </row>
    <row r="857" ht="15.75" customHeight="1">
      <c r="AT857" s="7"/>
      <c r="AU857" s="7"/>
    </row>
    <row r="858" ht="15.75" customHeight="1">
      <c r="AT858" s="7"/>
      <c r="AU858" s="7"/>
    </row>
    <row r="859" ht="15.75" customHeight="1">
      <c r="AT859" s="7"/>
      <c r="AU859" s="7"/>
    </row>
    <row r="860" ht="15.75" customHeight="1">
      <c r="AT860" s="7"/>
      <c r="AU860" s="7"/>
    </row>
    <row r="861" ht="15.75" customHeight="1">
      <c r="AT861" s="7"/>
      <c r="AU861" s="7"/>
    </row>
    <row r="862" ht="15.75" customHeight="1">
      <c r="AT862" s="7"/>
      <c r="AU862" s="7"/>
    </row>
    <row r="863" ht="15.75" customHeight="1">
      <c r="AT863" s="7"/>
      <c r="AU863" s="7"/>
    </row>
    <row r="864" ht="15.75" customHeight="1">
      <c r="AT864" s="7"/>
      <c r="AU864" s="7"/>
    </row>
    <row r="865" ht="15.75" customHeight="1">
      <c r="AT865" s="7"/>
      <c r="AU865" s="7"/>
    </row>
    <row r="866" ht="15.75" customHeight="1">
      <c r="AT866" s="7"/>
      <c r="AU866" s="7"/>
    </row>
    <row r="867" ht="15.75" customHeight="1">
      <c r="AT867" s="7"/>
      <c r="AU867" s="7"/>
    </row>
    <row r="868" ht="15.75" customHeight="1">
      <c r="AT868" s="7"/>
      <c r="AU868" s="7"/>
    </row>
    <row r="869" ht="15.75" customHeight="1">
      <c r="AT869" s="7"/>
      <c r="AU869" s="7"/>
    </row>
    <row r="870" ht="15.75" customHeight="1">
      <c r="AT870" s="7"/>
      <c r="AU870" s="7"/>
    </row>
    <row r="871" ht="15.75" customHeight="1">
      <c r="AT871" s="7"/>
      <c r="AU871" s="7"/>
    </row>
    <row r="872" ht="15.75" customHeight="1">
      <c r="AT872" s="7"/>
      <c r="AU872" s="7"/>
    </row>
    <row r="873" ht="15.75" customHeight="1">
      <c r="AT873" s="7"/>
      <c r="AU873" s="7"/>
    </row>
    <row r="874" ht="15.75" customHeight="1">
      <c r="AT874" s="7"/>
      <c r="AU874" s="7"/>
    </row>
    <row r="875" ht="15.75" customHeight="1">
      <c r="AT875" s="7"/>
      <c r="AU875" s="7"/>
    </row>
    <row r="876" ht="15.75" customHeight="1">
      <c r="AT876" s="7"/>
      <c r="AU876" s="7"/>
    </row>
    <row r="877" ht="15.75" customHeight="1">
      <c r="AT877" s="7"/>
      <c r="AU877" s="7"/>
    </row>
    <row r="878" ht="15.75" customHeight="1">
      <c r="AT878" s="7"/>
      <c r="AU878" s="7"/>
    </row>
    <row r="879" ht="15.75" customHeight="1">
      <c r="AT879" s="7"/>
      <c r="AU879" s="7"/>
    </row>
    <row r="880" ht="15.75" customHeight="1">
      <c r="AT880" s="7"/>
      <c r="AU880" s="7"/>
    </row>
    <row r="881" ht="15.75" customHeight="1">
      <c r="AT881" s="7"/>
      <c r="AU881" s="7"/>
    </row>
    <row r="882" ht="15.75" customHeight="1">
      <c r="AT882" s="7"/>
      <c r="AU882" s="7"/>
    </row>
    <row r="883" ht="15.75" customHeight="1">
      <c r="AT883" s="7"/>
      <c r="AU883" s="7"/>
    </row>
    <row r="884" ht="15.75" customHeight="1">
      <c r="AT884" s="7"/>
      <c r="AU884" s="7"/>
    </row>
    <row r="885" ht="15.75" customHeight="1">
      <c r="AT885" s="7"/>
      <c r="AU885" s="7"/>
    </row>
    <row r="886" ht="15.75" customHeight="1">
      <c r="AT886" s="7"/>
      <c r="AU886" s="7"/>
    </row>
    <row r="887" ht="15.75" customHeight="1">
      <c r="AT887" s="7"/>
      <c r="AU887" s="7"/>
    </row>
    <row r="888" ht="15.75" customHeight="1">
      <c r="AT888" s="7"/>
      <c r="AU888" s="7"/>
    </row>
    <row r="889" ht="15.75" customHeight="1">
      <c r="AT889" s="7"/>
      <c r="AU889" s="7"/>
    </row>
    <row r="890" ht="15.75" customHeight="1">
      <c r="AT890" s="7"/>
      <c r="AU890" s="7"/>
    </row>
    <row r="891" ht="15.75" customHeight="1">
      <c r="AT891" s="7"/>
      <c r="AU891" s="7"/>
    </row>
    <row r="892" ht="15.75" customHeight="1">
      <c r="AT892" s="7"/>
      <c r="AU892" s="7"/>
    </row>
    <row r="893" ht="15.75" customHeight="1">
      <c r="AT893" s="7"/>
      <c r="AU893" s="7"/>
    </row>
    <row r="894" ht="15.75" customHeight="1">
      <c r="AT894" s="7"/>
      <c r="AU894" s="7"/>
    </row>
    <row r="895" ht="15.75" customHeight="1">
      <c r="AT895" s="7"/>
      <c r="AU895" s="7"/>
    </row>
    <row r="896" ht="15.75" customHeight="1">
      <c r="AT896" s="7"/>
      <c r="AU896" s="7"/>
    </row>
    <row r="897" ht="15.75" customHeight="1">
      <c r="AT897" s="7"/>
      <c r="AU897" s="7"/>
    </row>
    <row r="898" ht="15.75" customHeight="1">
      <c r="AT898" s="7"/>
      <c r="AU898" s="7"/>
    </row>
    <row r="899" ht="15.75" customHeight="1">
      <c r="AT899" s="7"/>
      <c r="AU899" s="7"/>
    </row>
    <row r="900" ht="15.75" customHeight="1">
      <c r="AT900" s="7"/>
      <c r="AU900" s="7"/>
    </row>
    <row r="901" ht="15.75" customHeight="1">
      <c r="AT901" s="7"/>
      <c r="AU901" s="7"/>
    </row>
    <row r="902" ht="15.75" customHeight="1">
      <c r="AT902" s="7"/>
      <c r="AU902" s="7"/>
    </row>
    <row r="903" ht="15.75" customHeight="1">
      <c r="AT903" s="7"/>
      <c r="AU903" s="7"/>
    </row>
    <row r="904" ht="15.75" customHeight="1">
      <c r="AT904" s="7"/>
      <c r="AU904" s="7"/>
    </row>
    <row r="905" ht="15.75" customHeight="1">
      <c r="AT905" s="7"/>
      <c r="AU905" s="7"/>
    </row>
    <row r="906" ht="15.75" customHeight="1">
      <c r="AT906" s="7"/>
      <c r="AU906" s="7"/>
    </row>
    <row r="907" ht="15.75" customHeight="1">
      <c r="AT907" s="7"/>
      <c r="AU907" s="7"/>
    </row>
    <row r="908" ht="15.75" customHeight="1">
      <c r="AT908" s="7"/>
      <c r="AU908" s="7"/>
    </row>
    <row r="909" ht="15.75" customHeight="1">
      <c r="AT909" s="7"/>
      <c r="AU909" s="7"/>
    </row>
    <row r="910" ht="15.75" customHeight="1">
      <c r="AT910" s="7"/>
      <c r="AU910" s="7"/>
    </row>
    <row r="911" ht="15.75" customHeight="1">
      <c r="AT911" s="7"/>
      <c r="AU911" s="7"/>
    </row>
    <row r="912" ht="15.75" customHeight="1">
      <c r="AT912" s="7"/>
      <c r="AU912" s="7"/>
    </row>
    <row r="913" ht="15.75" customHeight="1">
      <c r="AT913" s="7"/>
      <c r="AU913" s="7"/>
    </row>
    <row r="914" ht="15.75" customHeight="1">
      <c r="AT914" s="7"/>
      <c r="AU914" s="7"/>
    </row>
    <row r="915" ht="15.75" customHeight="1">
      <c r="AT915" s="7"/>
      <c r="AU915" s="7"/>
    </row>
    <row r="916" ht="15.75" customHeight="1">
      <c r="AT916" s="7"/>
      <c r="AU916" s="7"/>
    </row>
    <row r="917" ht="15.75" customHeight="1">
      <c r="AT917" s="7"/>
      <c r="AU917" s="7"/>
    </row>
    <row r="918" ht="15.75" customHeight="1">
      <c r="AT918" s="7"/>
      <c r="AU918" s="7"/>
    </row>
    <row r="919" ht="15.75" customHeight="1">
      <c r="AT919" s="7"/>
      <c r="AU919" s="7"/>
    </row>
    <row r="920" ht="15.75" customHeight="1">
      <c r="AT920" s="7"/>
      <c r="AU920" s="7"/>
    </row>
    <row r="921" ht="15.75" customHeight="1">
      <c r="AT921" s="7"/>
      <c r="AU921" s="7"/>
    </row>
    <row r="922" ht="15.75" customHeight="1">
      <c r="AT922" s="7"/>
      <c r="AU922" s="7"/>
    </row>
    <row r="923" ht="15.75" customHeight="1">
      <c r="AT923" s="7"/>
      <c r="AU923" s="7"/>
    </row>
    <row r="924" ht="15.75" customHeight="1">
      <c r="AT924" s="7"/>
      <c r="AU924" s="7"/>
    </row>
    <row r="925" ht="15.75" customHeight="1">
      <c r="AT925" s="7"/>
      <c r="AU925" s="7"/>
    </row>
    <row r="926" ht="15.75" customHeight="1">
      <c r="AT926" s="7"/>
      <c r="AU926" s="7"/>
    </row>
    <row r="927" ht="15.75" customHeight="1">
      <c r="AT927" s="7"/>
      <c r="AU927" s="7"/>
    </row>
    <row r="928" ht="15.75" customHeight="1">
      <c r="AT928" s="7"/>
      <c r="AU928" s="7"/>
    </row>
    <row r="929" ht="15.75" customHeight="1">
      <c r="AT929" s="7"/>
      <c r="AU929" s="7"/>
    </row>
    <row r="930" ht="15.75" customHeight="1">
      <c r="AT930" s="7"/>
      <c r="AU930" s="7"/>
    </row>
    <row r="931" ht="15.75" customHeight="1">
      <c r="AT931" s="7"/>
      <c r="AU931" s="7"/>
    </row>
    <row r="932" ht="15.75" customHeight="1">
      <c r="AT932" s="7"/>
      <c r="AU932" s="7"/>
    </row>
    <row r="933" ht="15.75" customHeight="1">
      <c r="AT933" s="7"/>
      <c r="AU933" s="7"/>
    </row>
    <row r="934" ht="15.75" customHeight="1">
      <c r="AT934" s="7"/>
      <c r="AU934" s="7"/>
    </row>
    <row r="935" ht="15.75" customHeight="1">
      <c r="AT935" s="7"/>
      <c r="AU935" s="7"/>
    </row>
    <row r="936" ht="15.75" customHeight="1">
      <c r="AT936" s="7"/>
      <c r="AU936" s="7"/>
    </row>
    <row r="937" ht="15.75" customHeight="1">
      <c r="AT937" s="7"/>
      <c r="AU937" s="7"/>
    </row>
    <row r="938" ht="15.75" customHeight="1">
      <c r="AT938" s="7"/>
      <c r="AU938" s="7"/>
    </row>
    <row r="939" ht="15.75" customHeight="1">
      <c r="AT939" s="7"/>
      <c r="AU939" s="7"/>
    </row>
    <row r="940" ht="15.75" customHeight="1">
      <c r="AT940" s="7"/>
      <c r="AU940" s="7"/>
    </row>
    <row r="941" ht="15.75" customHeight="1">
      <c r="AT941" s="7"/>
      <c r="AU941" s="7"/>
    </row>
    <row r="942" ht="15.75" customHeight="1">
      <c r="AT942" s="7"/>
      <c r="AU942" s="7"/>
    </row>
    <row r="943" ht="15.75" customHeight="1">
      <c r="AT943" s="7"/>
      <c r="AU943" s="7"/>
    </row>
    <row r="944" ht="15.75" customHeight="1">
      <c r="AT944" s="7"/>
      <c r="AU944" s="7"/>
    </row>
    <row r="945" ht="15.75" customHeight="1">
      <c r="AT945" s="7"/>
      <c r="AU945" s="7"/>
    </row>
    <row r="946" ht="15.75" customHeight="1">
      <c r="AT946" s="7"/>
      <c r="AU946" s="7"/>
    </row>
    <row r="947" ht="15.75" customHeight="1">
      <c r="AT947" s="7"/>
      <c r="AU947" s="7"/>
    </row>
    <row r="948" ht="15.75" customHeight="1">
      <c r="AT948" s="7"/>
      <c r="AU948" s="7"/>
    </row>
    <row r="949" ht="15.75" customHeight="1">
      <c r="AT949" s="7"/>
      <c r="AU949" s="7"/>
    </row>
    <row r="950" ht="15.75" customHeight="1">
      <c r="AT950" s="7"/>
      <c r="AU950" s="7"/>
    </row>
    <row r="951" ht="15.75" customHeight="1">
      <c r="AT951" s="7"/>
      <c r="AU951" s="7"/>
    </row>
    <row r="952" ht="15.75" customHeight="1">
      <c r="AT952" s="7"/>
      <c r="AU952" s="7"/>
    </row>
    <row r="953" ht="15.75" customHeight="1">
      <c r="AT953" s="7"/>
      <c r="AU953" s="7"/>
    </row>
    <row r="954" ht="15.75" customHeight="1">
      <c r="AT954" s="7"/>
      <c r="AU954" s="7"/>
    </row>
    <row r="955" ht="15.75" customHeight="1">
      <c r="AT955" s="7"/>
      <c r="AU955" s="7"/>
    </row>
    <row r="956" ht="15.75" customHeight="1">
      <c r="AT956" s="7"/>
      <c r="AU956" s="7"/>
    </row>
    <row r="957" ht="15.75" customHeight="1">
      <c r="AT957" s="7"/>
      <c r="AU957" s="7"/>
    </row>
    <row r="958" ht="15.75" customHeight="1">
      <c r="AT958" s="7"/>
      <c r="AU958" s="7"/>
    </row>
    <row r="959" ht="15.75" customHeight="1">
      <c r="AT959" s="7"/>
      <c r="AU959" s="7"/>
    </row>
    <row r="960" ht="15.75" customHeight="1">
      <c r="AT960" s="7"/>
      <c r="AU960" s="7"/>
    </row>
    <row r="961" ht="15.75" customHeight="1">
      <c r="AT961" s="7"/>
      <c r="AU961" s="7"/>
    </row>
    <row r="962" ht="15.75" customHeight="1">
      <c r="AT962" s="7"/>
      <c r="AU962" s="7"/>
    </row>
    <row r="963" ht="15.75" customHeight="1">
      <c r="AT963" s="7"/>
      <c r="AU963" s="7"/>
    </row>
    <row r="964" ht="15.75" customHeight="1">
      <c r="AT964" s="7"/>
      <c r="AU964" s="7"/>
    </row>
    <row r="965" ht="15.75" customHeight="1">
      <c r="AT965" s="7"/>
      <c r="AU965" s="7"/>
    </row>
    <row r="966" ht="15.75" customHeight="1">
      <c r="AT966" s="7"/>
      <c r="AU966" s="7"/>
    </row>
    <row r="967" ht="15.75" customHeight="1">
      <c r="AT967" s="7"/>
      <c r="AU967" s="7"/>
    </row>
    <row r="968" ht="15.75" customHeight="1">
      <c r="AT968" s="7"/>
      <c r="AU968" s="7"/>
    </row>
    <row r="969" ht="15.75" customHeight="1">
      <c r="AT969" s="7"/>
      <c r="AU969" s="7"/>
    </row>
    <row r="970" ht="15.75" customHeight="1">
      <c r="AT970" s="7"/>
      <c r="AU970" s="7"/>
    </row>
    <row r="971" ht="15.75" customHeight="1">
      <c r="AT971" s="7"/>
      <c r="AU971" s="7"/>
    </row>
    <row r="972" ht="15.75" customHeight="1">
      <c r="AT972" s="7"/>
      <c r="AU972" s="7"/>
    </row>
    <row r="973" ht="15.75" customHeight="1">
      <c r="AT973" s="7"/>
      <c r="AU973" s="7"/>
    </row>
    <row r="974" ht="15.75" customHeight="1">
      <c r="AT974" s="7"/>
      <c r="AU974" s="7"/>
    </row>
    <row r="975" ht="15.75" customHeight="1">
      <c r="AT975" s="7"/>
      <c r="AU975" s="7"/>
    </row>
    <row r="976" ht="15.75" customHeight="1">
      <c r="AT976" s="7"/>
      <c r="AU976" s="7"/>
    </row>
    <row r="977" ht="15.75" customHeight="1">
      <c r="AT977" s="7"/>
      <c r="AU977" s="7"/>
    </row>
    <row r="978" ht="15.75" customHeight="1">
      <c r="AT978" s="7"/>
      <c r="AU978" s="7"/>
    </row>
    <row r="979" ht="15.75" customHeight="1">
      <c r="AT979" s="7"/>
      <c r="AU979" s="7"/>
    </row>
    <row r="980" ht="15.75" customHeight="1">
      <c r="AT980" s="7"/>
      <c r="AU980" s="7"/>
    </row>
    <row r="981" ht="15.75" customHeight="1">
      <c r="AT981" s="7"/>
      <c r="AU981" s="7"/>
    </row>
    <row r="982" ht="15.75" customHeight="1">
      <c r="AT982" s="7"/>
      <c r="AU982" s="7"/>
    </row>
    <row r="983" ht="15.75" customHeight="1">
      <c r="AT983" s="7"/>
      <c r="AU983" s="7"/>
    </row>
    <row r="984" ht="15.75" customHeight="1">
      <c r="AT984" s="7"/>
      <c r="AU984" s="7"/>
    </row>
    <row r="985" ht="15.75" customHeight="1">
      <c r="AT985" s="7"/>
      <c r="AU985" s="7"/>
    </row>
    <row r="986" ht="15.75" customHeight="1">
      <c r="AT986" s="7"/>
      <c r="AU986" s="7"/>
    </row>
    <row r="987" ht="15.75" customHeight="1">
      <c r="AT987" s="7"/>
      <c r="AU987" s="7"/>
    </row>
    <row r="988" ht="15.75" customHeight="1">
      <c r="AT988" s="7"/>
      <c r="AU988" s="7"/>
    </row>
    <row r="989" ht="15.75" customHeight="1">
      <c r="AT989" s="7"/>
      <c r="AU989" s="7"/>
    </row>
    <row r="990" ht="15.75" customHeight="1">
      <c r="AT990" s="7"/>
      <c r="AU990" s="7"/>
    </row>
    <row r="991" ht="15.75" customHeight="1">
      <c r="AT991" s="7"/>
      <c r="AU991" s="7"/>
    </row>
    <row r="992" ht="15.75" customHeight="1">
      <c r="AT992" s="7"/>
      <c r="AU992" s="7"/>
    </row>
    <row r="993" ht="15.75" customHeight="1">
      <c r="AT993" s="7"/>
      <c r="AU993" s="7"/>
    </row>
    <row r="994" ht="15.75" customHeight="1">
      <c r="AT994" s="7"/>
      <c r="AU994" s="7"/>
    </row>
    <row r="995" ht="15.75" customHeight="1">
      <c r="AT995" s="7"/>
      <c r="AU995" s="7"/>
    </row>
    <row r="996" ht="15.75" customHeight="1">
      <c r="AT996" s="7"/>
      <c r="AU996" s="7"/>
    </row>
    <row r="997" ht="15.75" customHeight="1">
      <c r="AT997" s="7"/>
      <c r="AU997" s="7"/>
    </row>
    <row r="998" ht="15.75" customHeight="1">
      <c r="AT998" s="7"/>
      <c r="AU998" s="7"/>
    </row>
    <row r="999" ht="15.75" customHeight="1">
      <c r="AT999" s="7"/>
      <c r="AU999" s="7"/>
    </row>
    <row r="1000" ht="15.75" customHeight="1">
      <c r="AT1000" s="7"/>
      <c r="AU1000" s="7"/>
    </row>
  </sheetData>
  <mergeCells count="1">
    <mergeCell ref="A1:AV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5" width="12.0"/>
    <col customWidth="1" min="6" max="6" width="14.0"/>
    <col customWidth="1" min="7" max="7" width="18.0"/>
    <col customWidth="1" min="8" max="8" width="14.0"/>
    <col customWidth="1" min="9" max="10" width="18.0"/>
    <col customWidth="1" min="11" max="11" width="22.0"/>
    <col customWidth="1" min="12" max="14" width="12.0"/>
    <col customWidth="1" min="15" max="26" width="8.71"/>
  </cols>
  <sheetData>
    <row r="1">
      <c r="A1" s="23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8" t="s">
        <v>84</v>
      </c>
      <c r="B3" s="8" t="s">
        <v>86</v>
      </c>
      <c r="C3" s="8" t="s">
        <v>88</v>
      </c>
      <c r="D3" s="8" t="s">
        <v>89</v>
      </c>
      <c r="E3" s="8" t="s">
        <v>90</v>
      </c>
      <c r="F3" s="8" t="s">
        <v>91</v>
      </c>
      <c r="G3" s="8" t="s">
        <v>92</v>
      </c>
      <c r="H3" s="8" t="s">
        <v>109</v>
      </c>
      <c r="I3" s="8" t="s">
        <v>114</v>
      </c>
      <c r="J3" s="8" t="s">
        <v>119</v>
      </c>
      <c r="K3" s="8" t="s">
        <v>124</v>
      </c>
      <c r="L3" s="8" t="s">
        <v>127</v>
      </c>
      <c r="M3" s="8" t="s">
        <v>125</v>
      </c>
      <c r="N3" s="8" t="s">
        <v>126</v>
      </c>
    </row>
    <row r="4">
      <c r="A4" s="5">
        <f>DOE_27_FixedCone!A4</f>
        <v>1</v>
      </c>
      <c r="B4" s="14">
        <f>DOE_27_FixedCone!C4</f>
        <v>291.15</v>
      </c>
      <c r="C4" s="14">
        <f>DOE_27_FixedCone!E4</f>
        <v>3</v>
      </c>
      <c r="D4" s="14">
        <f>DOE_27_FixedCone!H4</f>
        <v>699.78</v>
      </c>
      <c r="E4" s="14">
        <f>DOE_27_FixedCone!I4</f>
        <v>2500</v>
      </c>
      <c r="F4" s="14">
        <f>DOE_27_FixedCone!J4</f>
        <v>204000</v>
      </c>
      <c r="G4" s="14">
        <f>DOE_27_FixedCone!K4</f>
        <v>135</v>
      </c>
      <c r="H4" s="14">
        <f>DOE_27_FixedCone!AD4</f>
        <v>2832.678335</v>
      </c>
      <c r="I4" s="14">
        <f>DOE_27_FixedCone!AI4</f>
        <v>3913.808075</v>
      </c>
      <c r="J4" s="14">
        <f>DOE_27_FixedCone!AN4</f>
        <v>2940.977818</v>
      </c>
      <c r="K4" s="14">
        <f>DOE_27_FixedCone!AS4</f>
        <v>3242.880071</v>
      </c>
      <c r="L4" s="14">
        <f>DOE_27_FixedCone!AV4</f>
        <v>2940.977818</v>
      </c>
      <c r="M4" s="24">
        <f>DOE_27_FixedCone!AT4</f>
        <v>0</v>
      </c>
      <c r="N4" s="24">
        <f>DOE_27_FixedCone!AU4</f>
        <v>0</v>
      </c>
    </row>
    <row r="5">
      <c r="A5" s="5">
        <f>DOE_27_FixedCone!A5</f>
        <v>2</v>
      </c>
      <c r="B5" s="14">
        <f>DOE_27_FixedCone!C5</f>
        <v>291.15</v>
      </c>
      <c r="C5" s="14">
        <f>DOE_27_FixedCone!E5</f>
        <v>3</v>
      </c>
      <c r="D5" s="14">
        <f>DOE_27_FixedCone!H5</f>
        <v>745.35</v>
      </c>
      <c r="E5" s="14">
        <f>DOE_27_FixedCone!I5</f>
        <v>2500</v>
      </c>
      <c r="F5" s="14">
        <f>DOE_27_FixedCone!J5</f>
        <v>204000</v>
      </c>
      <c r="G5" s="14">
        <f>DOE_27_FixedCone!K5</f>
        <v>360</v>
      </c>
      <c r="H5" s="14">
        <f>DOE_27_FixedCone!AD5</f>
        <v>2239.687928</v>
      </c>
      <c r="I5" s="14">
        <f>DOE_27_FixedCone!AI5</f>
        <v>4072.905304</v>
      </c>
      <c r="J5" s="14">
        <f>DOE_27_FixedCone!AN5</f>
        <v>2348.139638</v>
      </c>
      <c r="K5" s="14">
        <f>DOE_27_FixedCone!AS5</f>
        <v>2650.316901</v>
      </c>
      <c r="L5" s="14">
        <f>DOE_27_FixedCone!AV5</f>
        <v>2348.139638</v>
      </c>
      <c r="M5" s="24">
        <f>DOE_27_FixedCone!AT5</f>
        <v>0</v>
      </c>
      <c r="N5" s="24">
        <f>DOE_27_FixedCone!AU5</f>
        <v>0</v>
      </c>
    </row>
    <row r="6">
      <c r="A6" s="5">
        <f>DOE_27_FixedCone!A6</f>
        <v>3</v>
      </c>
      <c r="B6" s="14">
        <f>DOE_27_FixedCone!C6</f>
        <v>291.15</v>
      </c>
      <c r="C6" s="14">
        <f>DOE_27_FixedCone!E6</f>
        <v>3</v>
      </c>
      <c r="D6" s="14">
        <f>DOE_27_FixedCone!H6</f>
        <v>778.87</v>
      </c>
      <c r="E6" s="14">
        <f>DOE_27_FixedCone!I6</f>
        <v>2500</v>
      </c>
      <c r="F6" s="14">
        <f>DOE_27_FixedCone!J6</f>
        <v>204000</v>
      </c>
      <c r="G6" s="14">
        <f>DOE_27_FixedCone!K6</f>
        <v>90</v>
      </c>
      <c r="H6" s="14">
        <f>DOE_27_FixedCone!AD6</f>
        <v>3132.517245</v>
      </c>
      <c r="I6" s="14">
        <f>DOE_27_FixedCone!AI6</f>
        <v>4198.134921</v>
      </c>
      <c r="J6" s="14">
        <f>DOE_27_FixedCone!AN6</f>
        <v>3240.612245</v>
      </c>
      <c r="K6" s="14">
        <f>DOE_27_FixedCone!AS6</f>
        <v>3546.958464</v>
      </c>
      <c r="L6" s="14">
        <f>DOE_27_FixedCone!AV6</f>
        <v>3240.612245</v>
      </c>
      <c r="M6" s="24">
        <f>DOE_27_FixedCone!AT6</f>
        <v>0</v>
      </c>
      <c r="N6" s="24">
        <f>DOE_27_FixedCone!AU6</f>
        <v>0</v>
      </c>
    </row>
    <row r="7">
      <c r="A7" s="5">
        <f>DOE_27_FixedCone!A7</f>
        <v>4</v>
      </c>
      <c r="B7" s="14">
        <f>DOE_27_FixedCone!C7</f>
        <v>291.15</v>
      </c>
      <c r="C7" s="14">
        <f>DOE_27_FixedCone!E7</f>
        <v>5</v>
      </c>
      <c r="D7" s="14">
        <f>DOE_27_FixedCone!H7</f>
        <v>699.78</v>
      </c>
      <c r="E7" s="14">
        <f>DOE_27_FixedCone!I7</f>
        <v>2500</v>
      </c>
      <c r="F7" s="14">
        <f>DOE_27_FixedCone!J7</f>
        <v>204000</v>
      </c>
      <c r="G7" s="14">
        <f>DOE_27_FixedCone!K7</f>
        <v>135</v>
      </c>
      <c r="H7" s="14">
        <f>DOE_27_FixedCone!AD7</f>
        <v>1785.364412</v>
      </c>
      <c r="I7" s="14">
        <f>DOE_27_FixedCone!AI7</f>
        <v>2450.062045</v>
      </c>
      <c r="J7" s="14">
        <f>DOE_27_FixedCone!AN7</f>
        <v>1893.790567</v>
      </c>
      <c r="K7" s="14">
        <f>DOE_27_FixedCone!AS7</f>
        <v>2194.030325</v>
      </c>
      <c r="L7" s="14">
        <f>DOE_27_FixedCone!AV7</f>
        <v>1893.790567</v>
      </c>
      <c r="M7" s="24">
        <f>DOE_27_FixedCone!AT7</f>
        <v>0.0026659</v>
      </c>
      <c r="N7" s="24">
        <f>DOE_27_FixedCone!AU7</f>
        <v>2.266</v>
      </c>
    </row>
    <row r="8">
      <c r="A8" s="5">
        <f>DOE_27_FixedCone!A8</f>
        <v>5</v>
      </c>
      <c r="B8" s="14">
        <f>DOE_27_FixedCone!C8</f>
        <v>291.15</v>
      </c>
      <c r="C8" s="14">
        <f>DOE_27_FixedCone!E8</f>
        <v>5</v>
      </c>
      <c r="D8" s="14">
        <f>DOE_27_FixedCone!H8</f>
        <v>745.35</v>
      </c>
      <c r="E8" s="14">
        <f>DOE_27_FixedCone!I8</f>
        <v>2500</v>
      </c>
      <c r="F8" s="14">
        <f>DOE_27_FixedCone!J8</f>
        <v>204000</v>
      </c>
      <c r="G8" s="14">
        <f>DOE_27_FixedCone!K8</f>
        <v>360</v>
      </c>
      <c r="H8" s="14">
        <f>DOE_27_FixedCone!AD8</f>
        <v>1888.267163</v>
      </c>
      <c r="I8" s="14">
        <f>DOE_27_FixedCone!AI8</f>
        <v>2548.272767</v>
      </c>
      <c r="J8" s="14">
        <f>DOE_27_FixedCone!AN8</f>
        <v>1996.608212</v>
      </c>
      <c r="K8" s="14">
        <f>DOE_27_FixedCone!AS8</f>
        <v>2302.416592</v>
      </c>
      <c r="L8" s="14">
        <f>DOE_27_FixedCone!AV8</f>
        <v>1996.608212</v>
      </c>
      <c r="M8" s="24">
        <f>DOE_27_FixedCone!AT8</f>
        <v>0</v>
      </c>
      <c r="N8" s="24">
        <f>DOE_27_FixedCone!AU8</f>
        <v>0</v>
      </c>
    </row>
    <row r="9">
      <c r="A9" s="5">
        <f>DOE_27_FixedCone!A9</f>
        <v>6</v>
      </c>
      <c r="B9" s="14">
        <f>DOE_27_FixedCone!C9</f>
        <v>291.15</v>
      </c>
      <c r="C9" s="14">
        <f>DOE_27_FixedCone!E9</f>
        <v>5</v>
      </c>
      <c r="D9" s="14">
        <f>DOE_27_FixedCone!H9</f>
        <v>778.87</v>
      </c>
      <c r="E9" s="14">
        <f>DOE_27_FixedCone!I9</f>
        <v>2500</v>
      </c>
      <c r="F9" s="14">
        <f>DOE_27_FixedCone!J9</f>
        <v>204000</v>
      </c>
      <c r="G9" s="14">
        <f>DOE_27_FixedCone!K9</f>
        <v>90</v>
      </c>
      <c r="H9" s="14">
        <f>DOE_27_FixedCone!AD9</f>
        <v>1965.434768</v>
      </c>
      <c r="I9" s="14">
        <f>DOE_27_FixedCone!AI9</f>
        <v>2621.838534</v>
      </c>
      <c r="J9" s="14">
        <f>DOE_27_FixedCone!AN9</f>
        <v>2073.662124</v>
      </c>
      <c r="K9" s="14">
        <f>DOE_27_FixedCone!AS9</f>
        <v>2379.843546</v>
      </c>
      <c r="L9" s="14">
        <f>DOE_27_FixedCone!AV9</f>
        <v>2073.662124</v>
      </c>
      <c r="M9" s="24">
        <f>DOE_27_FixedCone!AT9</f>
        <v>0</v>
      </c>
      <c r="N9" s="24">
        <f>DOE_27_FixedCone!AU9</f>
        <v>0</v>
      </c>
    </row>
    <row r="10">
      <c r="A10" s="5">
        <f>DOE_27_FixedCone!A10</f>
        <v>7</v>
      </c>
      <c r="B10" s="14">
        <f>DOE_27_FixedCone!C10</f>
        <v>291.15</v>
      </c>
      <c r="C10" s="14">
        <f>DOE_27_FixedCone!E10</f>
        <v>8</v>
      </c>
      <c r="D10" s="14">
        <f>DOE_27_FixedCone!H10</f>
        <v>699.78</v>
      </c>
      <c r="E10" s="14">
        <f>DOE_27_FixedCone!I10</f>
        <v>2500</v>
      </c>
      <c r="F10" s="14">
        <f>DOE_27_FixedCone!J10</f>
        <v>204000</v>
      </c>
      <c r="G10" s="14">
        <f>DOE_27_FixedCone!K10</f>
        <v>135</v>
      </c>
      <c r="H10" s="14">
        <f>DOE_27_FixedCone!AD10</f>
        <v>1181.538704</v>
      </c>
      <c r="I10" s="14">
        <f>DOE_27_FixedCone!AI10</f>
        <v>1636.596105</v>
      </c>
      <c r="J10" s="14">
        <f>DOE_27_FixedCone!AN10</f>
        <v>1289.828872</v>
      </c>
      <c r="K10" s="14">
        <f>DOE_27_FixedCone!AS10</f>
        <v>1591.524683</v>
      </c>
      <c r="L10" s="14">
        <f>DOE_27_FixedCone!AV10</f>
        <v>1289.828872</v>
      </c>
      <c r="M10" s="24">
        <f>DOE_27_FixedCone!AT10</f>
        <v>0.013915</v>
      </c>
      <c r="N10" s="24">
        <f>DOE_27_FixedCone!AU10</f>
        <v>11.828</v>
      </c>
    </row>
    <row r="11">
      <c r="A11" s="5">
        <f>DOE_27_FixedCone!A11</f>
        <v>8</v>
      </c>
      <c r="B11" s="14">
        <f>DOE_27_FixedCone!C11</f>
        <v>291.15</v>
      </c>
      <c r="C11" s="14">
        <f>DOE_27_FixedCone!E11</f>
        <v>8</v>
      </c>
      <c r="D11" s="14">
        <f>DOE_27_FixedCone!H11</f>
        <v>745.35</v>
      </c>
      <c r="E11" s="14">
        <f>DOE_27_FixedCone!I11</f>
        <v>2500</v>
      </c>
      <c r="F11" s="14">
        <f>DOE_27_FixedCone!J11</f>
        <v>204000</v>
      </c>
      <c r="G11" s="14">
        <f>DOE_27_FixedCone!K11</f>
        <v>360</v>
      </c>
      <c r="H11" s="14">
        <f>DOE_27_FixedCone!AD11</f>
        <v>1239.959813</v>
      </c>
      <c r="I11" s="14">
        <f>DOE_27_FixedCone!AI11</f>
        <v>1674.9186</v>
      </c>
      <c r="J11" s="14">
        <f>DOE_27_FixedCone!AN11</f>
        <v>1348.214759</v>
      </c>
      <c r="K11" s="14">
        <f>DOE_27_FixedCone!AS11</f>
        <v>1653.925275</v>
      </c>
      <c r="L11" s="14">
        <f>DOE_27_FixedCone!AV11</f>
        <v>1348.214759</v>
      </c>
      <c r="M11" s="24">
        <f>DOE_27_FixedCone!AT11</f>
        <v>0.013337</v>
      </c>
      <c r="N11" s="24">
        <f>DOE_27_FixedCone!AU11</f>
        <v>11.337</v>
      </c>
    </row>
    <row r="12">
      <c r="A12" s="5">
        <f>DOE_27_FixedCone!A12</f>
        <v>9</v>
      </c>
      <c r="B12" s="14">
        <f>DOE_27_FixedCone!C12</f>
        <v>291.15</v>
      </c>
      <c r="C12" s="14">
        <f>DOE_27_FixedCone!E12</f>
        <v>8</v>
      </c>
      <c r="D12" s="14">
        <f>DOE_27_FixedCone!H12</f>
        <v>778.87</v>
      </c>
      <c r="E12" s="14">
        <f>DOE_27_FixedCone!I12</f>
        <v>2500</v>
      </c>
      <c r="F12" s="14">
        <f>DOE_27_FixedCone!J12</f>
        <v>204000</v>
      </c>
      <c r="G12" s="14">
        <f>DOE_27_FixedCone!K12</f>
        <v>90</v>
      </c>
      <c r="H12" s="14">
        <f>DOE_27_FixedCone!AD12</f>
        <v>1292.689789</v>
      </c>
      <c r="I12" s="14">
        <f>DOE_27_FixedCone!AI12</f>
        <v>1725.615035</v>
      </c>
      <c r="J12" s="14">
        <f>DOE_27_FixedCone!AN12</f>
        <v>1400.828992</v>
      </c>
      <c r="K12" s="14">
        <f>DOE_27_FixedCone!AS12</f>
        <v>1706.546763</v>
      </c>
      <c r="L12" s="14">
        <f>DOE_27_FixedCone!AV12</f>
        <v>1400.828992</v>
      </c>
      <c r="M12" s="24">
        <f>DOE_27_FixedCone!AT12</f>
        <v>0.012785</v>
      </c>
      <c r="N12" s="24">
        <f>DOE_27_FixedCone!AU12</f>
        <v>10.868</v>
      </c>
    </row>
    <row r="13">
      <c r="A13" s="5">
        <f>DOE_27_FixedCone!A13</f>
        <v>10</v>
      </c>
      <c r="B13" s="14">
        <f>DOE_27_FixedCone!C13</f>
        <v>294.15</v>
      </c>
      <c r="C13" s="14">
        <f>DOE_27_FixedCone!E13</f>
        <v>3</v>
      </c>
      <c r="D13" s="14">
        <f>DOE_27_FixedCone!H13</f>
        <v>699.78</v>
      </c>
      <c r="E13" s="14">
        <f>DOE_27_FixedCone!I13</f>
        <v>2500</v>
      </c>
      <c r="F13" s="14">
        <f>DOE_27_FixedCone!J13</f>
        <v>204000</v>
      </c>
      <c r="G13" s="14">
        <f>DOE_27_FixedCone!K13</f>
        <v>135</v>
      </c>
      <c r="H13" s="14">
        <f>DOE_27_FixedCone!AD13</f>
        <v>2497.69277</v>
      </c>
      <c r="I13" s="14">
        <f>DOE_27_FixedCone!AI13</f>
        <v>3399.850265</v>
      </c>
      <c r="J13" s="14">
        <f>DOE_27_FixedCone!AN13</f>
        <v>2605.924276</v>
      </c>
      <c r="K13" s="14">
        <f>DOE_27_FixedCone!AS13</f>
        <v>2911.600354</v>
      </c>
      <c r="L13" s="14">
        <f>DOE_27_FixedCone!AV13</f>
        <v>2605.924276</v>
      </c>
      <c r="M13" s="24">
        <f>DOE_27_FixedCone!AT13</f>
        <v>0</v>
      </c>
      <c r="N13" s="24">
        <f>DOE_27_FixedCone!AU13</f>
        <v>0</v>
      </c>
    </row>
    <row r="14">
      <c r="A14" s="5">
        <f>DOE_27_FixedCone!A14</f>
        <v>11</v>
      </c>
      <c r="B14" s="14">
        <f>DOE_27_FixedCone!C14</f>
        <v>294.15</v>
      </c>
      <c r="C14" s="14">
        <f>DOE_27_FixedCone!E14</f>
        <v>3</v>
      </c>
      <c r="D14" s="14">
        <f>DOE_27_FixedCone!H14</f>
        <v>745.35</v>
      </c>
      <c r="E14" s="14">
        <f>DOE_27_FixedCone!I14</f>
        <v>2500</v>
      </c>
      <c r="F14" s="14">
        <f>DOE_27_FixedCone!J14</f>
        <v>204000</v>
      </c>
      <c r="G14" s="14">
        <f>DOE_27_FixedCone!K14</f>
        <v>360</v>
      </c>
      <c r="H14" s="14">
        <f>DOE_27_FixedCone!AD14</f>
        <v>2653.329729</v>
      </c>
      <c r="I14" s="14">
        <f>DOE_27_FixedCone!AI14</f>
        <v>3548.290795</v>
      </c>
      <c r="J14" s="14">
        <f>DOE_27_FixedCone!AN14</f>
        <v>2761.545413</v>
      </c>
      <c r="K14" s="14">
        <f>DOE_27_FixedCone!AS14</f>
        <v>3063.311022</v>
      </c>
      <c r="L14" s="14">
        <f>DOE_27_FixedCone!AV14</f>
        <v>2761.545413</v>
      </c>
      <c r="M14" s="24">
        <f>DOE_27_FixedCone!AT14</f>
        <v>0</v>
      </c>
      <c r="N14" s="24">
        <f>DOE_27_FixedCone!AU14</f>
        <v>0</v>
      </c>
    </row>
    <row r="15">
      <c r="A15" s="5">
        <f>DOE_27_FixedCone!A15</f>
        <v>12</v>
      </c>
      <c r="B15" s="14">
        <f>DOE_27_FixedCone!C15</f>
        <v>294.15</v>
      </c>
      <c r="C15" s="14">
        <f>DOE_27_FixedCone!E15</f>
        <v>3</v>
      </c>
      <c r="D15" s="14">
        <f>DOE_27_FixedCone!H15</f>
        <v>778.87</v>
      </c>
      <c r="E15" s="14">
        <f>DOE_27_FixedCone!I15</f>
        <v>2500</v>
      </c>
      <c r="F15" s="14">
        <f>DOE_27_FixedCone!J15</f>
        <v>204000</v>
      </c>
      <c r="G15" s="14">
        <f>DOE_27_FixedCone!K15</f>
        <v>90</v>
      </c>
      <c r="H15" s="14">
        <f>DOE_27_FixedCone!AD15</f>
        <v>2773.674762</v>
      </c>
      <c r="I15" s="14">
        <f>DOE_27_FixedCone!AI15</f>
        <v>3663.373016</v>
      </c>
      <c r="J15" s="14">
        <f>DOE_27_FixedCone!AN15</f>
        <v>2881.837472</v>
      </c>
      <c r="K15" s="14">
        <f>DOE_27_FixedCone!AS15</f>
        <v>3183.615316</v>
      </c>
      <c r="L15" s="14">
        <f>DOE_27_FixedCone!AV15</f>
        <v>2881.837472</v>
      </c>
      <c r="M15" s="24">
        <f>DOE_27_FixedCone!AT15</f>
        <v>0</v>
      </c>
      <c r="N15" s="24">
        <f>DOE_27_FixedCone!AU15</f>
        <v>0</v>
      </c>
    </row>
    <row r="16">
      <c r="A16" s="5">
        <f>DOE_27_FixedCone!A16</f>
        <v>13</v>
      </c>
      <c r="B16" s="14">
        <f>DOE_27_FixedCone!C16</f>
        <v>294.15</v>
      </c>
      <c r="C16" s="14">
        <f>DOE_27_FixedCone!E16</f>
        <v>5</v>
      </c>
      <c r="D16" s="14">
        <f>DOE_27_FixedCone!H16</f>
        <v>699.78</v>
      </c>
      <c r="E16" s="14">
        <f>DOE_27_FixedCone!I16</f>
        <v>2500</v>
      </c>
      <c r="F16" s="14">
        <f>DOE_27_FixedCone!J16</f>
        <v>204000</v>
      </c>
      <c r="G16" s="14">
        <f>DOE_27_FixedCone!K16</f>
        <v>135</v>
      </c>
      <c r="H16" s="14">
        <f>DOE_27_FixedCone!AD16</f>
        <v>1568.677992</v>
      </c>
      <c r="I16" s="14">
        <f>DOE_27_FixedCone!AI16</f>
        <v>2132.151041</v>
      </c>
      <c r="J16" s="14">
        <f>DOE_27_FixedCone!AN16</f>
        <v>1677.054297</v>
      </c>
      <c r="K16" s="14">
        <f>DOE_27_FixedCone!AS16</f>
        <v>1979.210069</v>
      </c>
      <c r="L16" s="14">
        <f>DOE_27_FixedCone!AV16</f>
        <v>1677.054297</v>
      </c>
      <c r="M16" s="24">
        <f>DOE_27_FixedCone!AT16</f>
        <v>0.0087804</v>
      </c>
      <c r="N16" s="24">
        <f>DOE_27_FixedCone!AU16</f>
        <v>7.4633</v>
      </c>
    </row>
    <row r="17">
      <c r="A17" s="5">
        <f>DOE_27_FixedCone!A17</f>
        <v>14</v>
      </c>
      <c r="B17" s="14">
        <f>DOE_27_FixedCone!C17</f>
        <v>294.15</v>
      </c>
      <c r="C17" s="14">
        <f>DOE_27_FixedCone!E17</f>
        <v>5</v>
      </c>
      <c r="D17" s="14">
        <f>DOE_27_FixedCone!H17</f>
        <v>745.35</v>
      </c>
      <c r="E17" s="14">
        <f>DOE_27_FixedCone!I17</f>
        <v>2500</v>
      </c>
      <c r="F17" s="14">
        <f>DOE_27_FixedCone!J17</f>
        <v>204000</v>
      </c>
      <c r="G17" s="14">
        <f>DOE_27_FixedCone!K17</f>
        <v>360</v>
      </c>
      <c r="H17" s="14">
        <f>DOE_27_FixedCone!AD17</f>
        <v>1654.747756</v>
      </c>
      <c r="I17" s="14">
        <f>DOE_27_FixedCone!AI17</f>
        <v>2212.662185</v>
      </c>
      <c r="J17" s="14">
        <f>DOE_27_FixedCone!AN17</f>
        <v>1763.017086</v>
      </c>
      <c r="K17" s="14">
        <f>DOE_27_FixedCone!AS17</f>
        <v>2064.840426</v>
      </c>
      <c r="L17" s="14">
        <f>DOE_27_FixedCone!AV17</f>
        <v>1763.017086</v>
      </c>
      <c r="M17" s="24">
        <f>DOE_27_FixedCone!AT17</f>
        <v>0.006935</v>
      </c>
      <c r="N17" s="24">
        <f>DOE_27_FixedCone!AU17</f>
        <v>5.8947</v>
      </c>
    </row>
    <row r="18">
      <c r="A18" s="5">
        <f>DOE_27_FixedCone!A18</f>
        <v>15</v>
      </c>
      <c r="B18" s="14">
        <f>DOE_27_FixedCone!C18</f>
        <v>294.15</v>
      </c>
      <c r="C18" s="14">
        <f>DOE_27_FixedCone!E18</f>
        <v>5</v>
      </c>
      <c r="D18" s="14">
        <f>DOE_27_FixedCone!H18</f>
        <v>778.87</v>
      </c>
      <c r="E18" s="14">
        <f>DOE_27_FixedCone!I18</f>
        <v>2500</v>
      </c>
      <c r="F18" s="14">
        <f>DOE_27_FixedCone!J18</f>
        <v>204000</v>
      </c>
      <c r="G18" s="14">
        <f>DOE_27_FixedCone!K18</f>
        <v>90</v>
      </c>
      <c r="H18" s="14">
        <f>DOE_27_FixedCone!AD18</f>
        <v>1719.547857</v>
      </c>
      <c r="I18" s="14">
        <f>DOE_27_FixedCone!AI18</f>
        <v>2281.13587</v>
      </c>
      <c r="J18" s="14">
        <f>DOE_27_FixedCone!AN18</f>
        <v>1827.792783</v>
      </c>
      <c r="K18" s="14">
        <f>DOE_27_FixedCone!AS18</f>
        <v>2133.905013</v>
      </c>
      <c r="L18" s="14">
        <f>DOE_27_FixedCone!AV18</f>
        <v>1827.792783</v>
      </c>
      <c r="M18" s="24">
        <f>DOE_27_FixedCone!AT18</f>
        <v>0.0052158</v>
      </c>
      <c r="N18" s="24">
        <f>DOE_27_FixedCone!AU18</f>
        <v>4.4334</v>
      </c>
    </row>
    <row r="19">
      <c r="A19" s="5">
        <f>DOE_27_FixedCone!A19</f>
        <v>16</v>
      </c>
      <c r="B19" s="14">
        <f>DOE_27_FixedCone!C19</f>
        <v>294.15</v>
      </c>
      <c r="C19" s="14">
        <f>DOE_27_FixedCone!E19</f>
        <v>8</v>
      </c>
      <c r="D19" s="14">
        <f>DOE_27_FixedCone!H19</f>
        <v>699.78</v>
      </c>
      <c r="E19" s="14">
        <f>DOE_27_FixedCone!I19</f>
        <v>2500</v>
      </c>
      <c r="F19" s="14">
        <f>DOE_27_FixedCone!J19</f>
        <v>204000</v>
      </c>
      <c r="G19" s="14">
        <f>DOE_27_FixedCone!K19</f>
        <v>135</v>
      </c>
      <c r="H19" s="14">
        <f>DOE_27_FixedCone!AD19</f>
        <v>1030.846345</v>
      </c>
      <c r="I19" s="14">
        <f>DOE_27_FixedCone!AI19</f>
        <v>1402.053475</v>
      </c>
      <c r="J19" s="14">
        <f>DOE_27_FixedCone!AN19</f>
        <v>1138.950042</v>
      </c>
      <c r="K19" s="14">
        <f>DOE_27_FixedCone!AS19</f>
        <v>1445.663082</v>
      </c>
      <c r="L19" s="14">
        <f>DOE_27_FixedCone!AV19</f>
        <v>1138.950042</v>
      </c>
      <c r="M19" s="24">
        <f>DOE_27_FixedCone!AT19</f>
        <v>0.014968</v>
      </c>
      <c r="N19" s="24">
        <f>DOE_27_FixedCone!AU19</f>
        <v>12.723</v>
      </c>
    </row>
    <row r="20">
      <c r="A20" s="5">
        <f>DOE_27_FixedCone!A20</f>
        <v>17</v>
      </c>
      <c r="B20" s="14">
        <f>DOE_27_FixedCone!C20</f>
        <v>294.15</v>
      </c>
      <c r="C20" s="14">
        <f>DOE_27_FixedCone!E20</f>
        <v>8</v>
      </c>
      <c r="D20" s="14">
        <f>DOE_27_FixedCone!H20</f>
        <v>745.35</v>
      </c>
      <c r="E20" s="14">
        <f>DOE_27_FixedCone!I20</f>
        <v>2500</v>
      </c>
      <c r="F20" s="14">
        <f>DOE_27_FixedCone!J20</f>
        <v>204000</v>
      </c>
      <c r="G20" s="14">
        <f>DOE_27_FixedCone!K20</f>
        <v>360</v>
      </c>
      <c r="H20" s="14">
        <f>DOE_27_FixedCone!AD20</f>
        <v>1091.563596</v>
      </c>
      <c r="I20" s="14">
        <f>DOE_27_FixedCone!AI20</f>
        <v>1458.979439</v>
      </c>
      <c r="J20" s="14">
        <f>DOE_27_FixedCone!AN20</f>
        <v>1199.653862</v>
      </c>
      <c r="K20" s="14">
        <f>DOE_27_FixedCone!AS20</f>
        <v>1505.797231</v>
      </c>
      <c r="L20" s="14">
        <f>DOE_27_FixedCone!AV20</f>
        <v>1199.653862</v>
      </c>
      <c r="M20" s="24">
        <f>DOE_27_FixedCone!AT20</f>
        <v>0.014539</v>
      </c>
      <c r="N20" s="24">
        <f>DOE_27_FixedCone!AU20</f>
        <v>12.358</v>
      </c>
    </row>
    <row r="21" ht="15.75" customHeight="1">
      <c r="A21" s="5">
        <f>DOE_27_FixedCone!A21</f>
        <v>18</v>
      </c>
      <c r="B21" s="14">
        <f>DOE_27_FixedCone!C21</f>
        <v>294.15</v>
      </c>
      <c r="C21" s="14">
        <f>DOE_27_FixedCone!E21</f>
        <v>8</v>
      </c>
      <c r="D21" s="14">
        <f>DOE_27_FixedCone!H21</f>
        <v>778.87</v>
      </c>
      <c r="E21" s="14">
        <f>DOE_27_FixedCone!I21</f>
        <v>2500</v>
      </c>
      <c r="F21" s="14">
        <f>DOE_27_FixedCone!J21</f>
        <v>204000</v>
      </c>
      <c r="G21" s="14">
        <f>DOE_27_FixedCone!K21</f>
        <v>90</v>
      </c>
      <c r="H21" s="14">
        <f>DOE_27_FixedCone!AD21</f>
        <v>1137.276542</v>
      </c>
      <c r="I21" s="14">
        <f>DOE_27_FixedCone!AI21</f>
        <v>1502.747063</v>
      </c>
      <c r="J21" s="14">
        <f>DOE_27_FixedCone!AN21</f>
        <v>1245.494309</v>
      </c>
      <c r="K21" s="14">
        <f>DOE_27_FixedCone!AS21</f>
        <v>1551.879965</v>
      </c>
      <c r="L21" s="14">
        <f>DOE_27_FixedCone!AV21</f>
        <v>1245.494309</v>
      </c>
      <c r="M21" s="24">
        <f>DOE_27_FixedCone!AT21</f>
        <v>0.014228</v>
      </c>
      <c r="N21" s="24">
        <f>DOE_27_FixedCone!AU21</f>
        <v>12.093</v>
      </c>
    </row>
    <row r="22" ht="15.75" customHeight="1">
      <c r="A22" s="5">
        <f>DOE_27_FixedCone!A22</f>
        <v>19</v>
      </c>
      <c r="B22" s="14">
        <f>DOE_27_FixedCone!C22</f>
        <v>297.15</v>
      </c>
      <c r="C22" s="14">
        <f>DOE_27_FixedCone!E22</f>
        <v>3</v>
      </c>
      <c r="D22" s="14">
        <f>DOE_27_FixedCone!H22</f>
        <v>699.78</v>
      </c>
      <c r="E22" s="14">
        <f>DOE_27_FixedCone!I22</f>
        <v>2500</v>
      </c>
      <c r="F22" s="14">
        <f>DOE_27_FixedCone!J22</f>
        <v>204000</v>
      </c>
      <c r="G22" s="14">
        <f>DOE_27_FixedCone!K22</f>
        <v>135</v>
      </c>
      <c r="H22" s="14">
        <f>DOE_27_FixedCone!AD22</f>
        <v>2231.15425</v>
      </c>
      <c r="I22" s="14">
        <f>DOE_27_FixedCone!AI22</f>
        <v>3012.271228</v>
      </c>
      <c r="J22" s="14">
        <f>DOE_27_FixedCone!AN22</f>
        <v>2339.450085</v>
      </c>
      <c r="K22" s="14">
        <f>DOE_27_FixedCone!AS22</f>
        <v>2641.556455</v>
      </c>
      <c r="L22" s="14">
        <f>DOE_27_FixedCone!AV22</f>
        <v>2339.450085</v>
      </c>
      <c r="M22" s="24">
        <f>DOE_27_FixedCone!AT22</f>
        <v>0</v>
      </c>
      <c r="N22" s="24">
        <f>DOE_27_FixedCone!AU22</f>
        <v>0</v>
      </c>
    </row>
    <row r="23" ht="15.75" customHeight="1">
      <c r="A23" s="5">
        <f>DOE_27_FixedCone!A23</f>
        <v>20</v>
      </c>
      <c r="B23" s="14">
        <f>DOE_27_FixedCone!C23</f>
        <v>297.15</v>
      </c>
      <c r="C23" s="14">
        <f>DOE_27_FixedCone!E23</f>
        <v>3</v>
      </c>
      <c r="D23" s="14">
        <f>DOE_27_FixedCone!H23</f>
        <v>745.35</v>
      </c>
      <c r="E23" s="14">
        <f>DOE_27_FixedCone!I23</f>
        <v>2500</v>
      </c>
      <c r="F23" s="14">
        <f>DOE_27_FixedCone!J23</f>
        <v>204000</v>
      </c>
      <c r="G23" s="14">
        <f>DOE_27_FixedCone!K23</f>
        <v>360</v>
      </c>
      <c r="H23" s="14">
        <f>DOE_27_FixedCone!AD23</f>
        <v>2383.716149</v>
      </c>
      <c r="I23" s="14">
        <f>DOE_27_FixedCone!AI23</f>
        <v>3158.257322</v>
      </c>
      <c r="J23" s="14">
        <f>DOE_27_FixedCone!AN23</f>
        <v>2491.963431</v>
      </c>
      <c r="K23" s="14">
        <f>DOE_27_FixedCone!AS23</f>
        <v>2798.467601</v>
      </c>
      <c r="L23" s="14">
        <f>DOE_27_FixedCone!AV23</f>
        <v>2491.963431</v>
      </c>
      <c r="M23" s="24">
        <f>DOE_27_FixedCone!AT23</f>
        <v>0</v>
      </c>
      <c r="N23" s="24">
        <f>DOE_27_FixedCone!AU23</f>
        <v>0</v>
      </c>
    </row>
    <row r="24" ht="15.75" customHeight="1">
      <c r="A24" s="5">
        <f>DOE_27_FixedCone!A24</f>
        <v>21</v>
      </c>
      <c r="B24" s="14">
        <f>DOE_27_FixedCone!C24</f>
        <v>297.15</v>
      </c>
      <c r="C24" s="14">
        <f>DOE_27_FixedCone!E24</f>
        <v>3</v>
      </c>
      <c r="D24" s="14">
        <f>DOE_27_FixedCone!H24</f>
        <v>778.87</v>
      </c>
      <c r="E24" s="14">
        <f>DOE_27_FixedCone!I24</f>
        <v>2500</v>
      </c>
      <c r="F24" s="14">
        <f>DOE_27_FixedCone!J24</f>
        <v>204000</v>
      </c>
      <c r="G24" s="14">
        <f>DOE_27_FixedCone!K24</f>
        <v>90</v>
      </c>
      <c r="H24" s="14">
        <f>DOE_27_FixedCone!AD24</f>
        <v>2493.981435</v>
      </c>
      <c r="I24" s="14">
        <f>DOE_27_FixedCone!AI24</f>
        <v>3264.151727</v>
      </c>
      <c r="J24" s="14">
        <f>DOE_27_FixedCone!AN24</f>
        <v>2602.27088</v>
      </c>
      <c r="K24" s="14">
        <f>DOE_27_FixedCone!AS24</f>
        <v>2904.525416</v>
      </c>
      <c r="L24" s="14">
        <f>DOE_27_FixedCone!AV24</f>
        <v>2602.27088</v>
      </c>
      <c r="M24" s="24">
        <f>DOE_27_FixedCone!AT24</f>
        <v>0</v>
      </c>
      <c r="N24" s="24">
        <f>DOE_27_FixedCone!AU24</f>
        <v>0</v>
      </c>
    </row>
    <row r="25" ht="15.75" customHeight="1">
      <c r="A25" s="5">
        <f>DOE_27_FixedCone!A25</f>
        <v>22</v>
      </c>
      <c r="B25" s="14">
        <f>DOE_27_FixedCone!C25</f>
        <v>297.15</v>
      </c>
      <c r="C25" s="14">
        <f>DOE_27_FixedCone!E25</f>
        <v>5</v>
      </c>
      <c r="D25" s="14">
        <f>DOE_27_FixedCone!H25</f>
        <v>699.78</v>
      </c>
      <c r="E25" s="14">
        <f>DOE_27_FixedCone!I25</f>
        <v>2500</v>
      </c>
      <c r="F25" s="14">
        <f>DOE_27_FixedCone!J25</f>
        <v>204000</v>
      </c>
      <c r="G25" s="14">
        <f>DOE_27_FixedCone!K25</f>
        <v>135</v>
      </c>
      <c r="H25" s="14">
        <f>DOE_27_FixedCone!AD25</f>
        <v>1424.917165</v>
      </c>
      <c r="I25" s="14">
        <f>DOE_27_FixedCone!AI25</f>
        <v>1912.904993</v>
      </c>
      <c r="J25" s="14">
        <f>DOE_27_FixedCone!AN25</f>
        <v>1533.3521</v>
      </c>
      <c r="K25" s="14">
        <f>DOE_27_FixedCone!AS25</f>
        <v>1835.15625</v>
      </c>
      <c r="L25" s="14">
        <f>DOE_27_FixedCone!AV25</f>
        <v>1533.3521</v>
      </c>
      <c r="M25" s="24">
        <f>DOE_27_FixedCone!AT25</f>
        <v>0.011183</v>
      </c>
      <c r="N25" s="24">
        <f>DOE_27_FixedCone!AU25</f>
        <v>9.5054</v>
      </c>
    </row>
    <row r="26" ht="15.75" customHeight="1">
      <c r="A26" s="5">
        <f>DOE_27_FixedCone!A26</f>
        <v>23</v>
      </c>
      <c r="B26" s="14">
        <f>DOE_27_FixedCone!C26</f>
        <v>297.15</v>
      </c>
      <c r="C26" s="14">
        <f>DOE_27_FixedCone!E26</f>
        <v>5</v>
      </c>
      <c r="D26" s="14">
        <f>DOE_27_FixedCone!H26</f>
        <v>745.35</v>
      </c>
      <c r="E26" s="14">
        <f>DOE_27_FixedCone!I26</f>
        <v>2500</v>
      </c>
      <c r="F26" s="14">
        <f>DOE_27_FixedCone!J26</f>
        <v>204000</v>
      </c>
      <c r="G26" s="14">
        <f>DOE_27_FixedCone!K26</f>
        <v>360</v>
      </c>
      <c r="H26" s="14">
        <f>DOE_27_FixedCone!AD26</f>
        <v>1497.06587</v>
      </c>
      <c r="I26" s="14">
        <f>DOE_27_FixedCone!AI26</f>
        <v>1979.506394</v>
      </c>
      <c r="J26" s="14">
        <f>DOE_27_FixedCone!AN26</f>
        <v>1605.412291</v>
      </c>
      <c r="K26" s="14">
        <f>DOE_27_FixedCone!AS26</f>
        <v>1907.400177</v>
      </c>
      <c r="L26" s="14">
        <f>DOE_27_FixedCone!AV26</f>
        <v>1605.412291</v>
      </c>
      <c r="M26" s="24">
        <f>DOE_27_FixedCone!AT26</f>
        <v>0.010069</v>
      </c>
      <c r="N26" s="24">
        <f>DOE_27_FixedCone!AU26</f>
        <v>8.5589</v>
      </c>
    </row>
    <row r="27" ht="15.75" customHeight="1">
      <c r="A27" s="5">
        <f>DOE_27_FixedCone!A27</f>
        <v>24</v>
      </c>
      <c r="B27" s="14">
        <f>DOE_27_FixedCone!C27</f>
        <v>297.15</v>
      </c>
      <c r="C27" s="14">
        <f>DOE_27_FixedCone!E27</f>
        <v>5</v>
      </c>
      <c r="D27" s="14">
        <f>DOE_27_FixedCone!H27</f>
        <v>778.87</v>
      </c>
      <c r="E27" s="14">
        <f>DOE_27_FixedCone!I27</f>
        <v>2500</v>
      </c>
      <c r="F27" s="14">
        <f>DOE_27_FixedCone!J27</f>
        <v>204000</v>
      </c>
      <c r="G27" s="14">
        <f>DOE_27_FixedCone!K27</f>
        <v>90</v>
      </c>
      <c r="H27" s="14">
        <f>DOE_27_FixedCone!AD27</f>
        <v>1550.323944</v>
      </c>
      <c r="I27" s="14">
        <f>DOE_27_FixedCone!AI27</f>
        <v>2030.363546</v>
      </c>
      <c r="J27" s="14">
        <f>DOE_27_FixedCone!AN27</f>
        <v>1658.514116</v>
      </c>
      <c r="K27" s="14">
        <f>DOE_27_FixedCone!AS27</f>
        <v>1960.3308</v>
      </c>
      <c r="L27" s="14">
        <f>DOE_27_FixedCone!AV27</f>
        <v>1658.514116</v>
      </c>
      <c r="M27" s="24">
        <f>DOE_27_FixedCone!AT27</f>
        <v>0.0091327</v>
      </c>
      <c r="N27" s="24">
        <f>DOE_27_FixedCone!AU27</f>
        <v>7.7628</v>
      </c>
    </row>
    <row r="28" ht="15.75" customHeight="1">
      <c r="A28" s="5">
        <f>DOE_27_FixedCone!A28</f>
        <v>25</v>
      </c>
      <c r="B28" s="14">
        <f>DOE_27_FixedCone!C28</f>
        <v>297.15</v>
      </c>
      <c r="C28" s="14">
        <f>DOE_27_FixedCone!E28</f>
        <v>8</v>
      </c>
      <c r="D28" s="14">
        <f>DOE_27_FixedCone!H28</f>
        <v>699.78</v>
      </c>
      <c r="E28" s="14">
        <f>DOE_27_FixedCone!I28</f>
        <v>2500</v>
      </c>
      <c r="F28" s="14">
        <f>DOE_27_FixedCone!J28</f>
        <v>204000</v>
      </c>
      <c r="G28" s="14">
        <f>DOE_27_FixedCone!K28</f>
        <v>135</v>
      </c>
      <c r="H28" s="14">
        <f>DOE_27_FixedCone!AD28</f>
        <v>940.9113287</v>
      </c>
      <c r="I28" s="14">
        <f>DOE_27_FixedCone!AI28</f>
        <v>1270.294871</v>
      </c>
      <c r="J28" s="14">
        <f>DOE_27_FixedCone!AN28</f>
        <v>1049.276764</v>
      </c>
      <c r="K28" s="14">
        <f>DOE_27_FixedCone!AS28</f>
        <v>1351.068301</v>
      </c>
      <c r="L28" s="14">
        <f>DOE_27_FixedCone!AV28</f>
        <v>1049.276764</v>
      </c>
      <c r="M28" s="24">
        <f>DOE_27_FixedCone!AT28</f>
        <v>0.015513</v>
      </c>
      <c r="N28" s="24">
        <f>DOE_27_FixedCone!AU28</f>
        <v>13.186</v>
      </c>
    </row>
    <row r="29" ht="15.75" customHeight="1">
      <c r="A29" s="5">
        <f>DOE_27_FixedCone!A29</f>
        <v>26</v>
      </c>
      <c r="B29" s="14">
        <f>DOE_27_FixedCone!C29</f>
        <v>297.15</v>
      </c>
      <c r="C29" s="14">
        <f>DOE_27_FixedCone!E29</f>
        <v>8</v>
      </c>
      <c r="D29" s="14">
        <f>DOE_27_FixedCone!H29</f>
        <v>745.35</v>
      </c>
      <c r="E29" s="14">
        <f>DOE_27_FixedCone!I29</f>
        <v>2500</v>
      </c>
      <c r="F29" s="14">
        <f>DOE_27_FixedCone!J29</f>
        <v>204000</v>
      </c>
      <c r="G29" s="14">
        <f>DOE_27_FixedCone!K29</f>
        <v>360</v>
      </c>
      <c r="H29" s="14">
        <f>DOE_27_FixedCone!AD29</f>
        <v>989.546135</v>
      </c>
      <c r="I29" s="14">
        <f>DOE_27_FixedCone!AI29</f>
        <v>1308.556082</v>
      </c>
      <c r="J29" s="14">
        <f>DOE_27_FixedCone!AN29</f>
        <v>1097.712947</v>
      </c>
      <c r="K29" s="14">
        <f>DOE_27_FixedCone!AS29</f>
        <v>1403.415953</v>
      </c>
      <c r="L29" s="14">
        <f>DOE_27_FixedCone!AV29</f>
        <v>1097.712947</v>
      </c>
      <c r="M29" s="24">
        <f>DOE_27_FixedCone!AT29</f>
        <v>0.015211</v>
      </c>
      <c r="N29" s="24">
        <f>DOE_27_FixedCone!AU29</f>
        <v>12.929</v>
      </c>
    </row>
    <row r="30" ht="15.75" customHeight="1">
      <c r="A30" s="5">
        <f>DOE_27_FixedCone!A30</f>
        <v>27</v>
      </c>
      <c r="B30" s="14">
        <f>DOE_27_FixedCone!C30</f>
        <v>297.15</v>
      </c>
      <c r="C30" s="14">
        <f>DOE_27_FixedCone!E30</f>
        <v>8</v>
      </c>
      <c r="D30" s="14">
        <f>DOE_27_FixedCone!H30</f>
        <v>778.87</v>
      </c>
      <c r="E30" s="14">
        <f>DOE_27_FixedCone!I30</f>
        <v>2500</v>
      </c>
      <c r="F30" s="14">
        <f>DOE_27_FixedCone!J30</f>
        <v>204000</v>
      </c>
      <c r="G30" s="14">
        <f>DOE_27_FixedCone!K30</f>
        <v>90</v>
      </c>
      <c r="H30" s="14">
        <f>DOE_27_FixedCone!AD30</f>
        <v>1029.025676</v>
      </c>
      <c r="I30" s="14">
        <f>DOE_27_FixedCone!AI30</f>
        <v>1345.891611</v>
      </c>
      <c r="J30" s="14">
        <f>DOE_27_FixedCone!AN30</f>
        <v>1137.211682</v>
      </c>
      <c r="K30" s="14">
        <f>DOE_27_FixedCone!AS30</f>
        <v>1443.953384</v>
      </c>
      <c r="L30" s="14">
        <f>DOE_27_FixedCone!AV30</f>
        <v>1137.211682</v>
      </c>
      <c r="M30" s="24">
        <f>DOE_27_FixedCone!AT30</f>
        <v>0.014979</v>
      </c>
      <c r="N30" s="24">
        <f>DOE_27_FixedCone!AU30</f>
        <v>12.732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4.29"/>
    <col customWidth="1" min="3" max="3" width="38.71"/>
    <col customWidth="1" min="4" max="4" width="55.43"/>
    <col customWidth="1" min="5" max="26" width="8.71"/>
  </cols>
  <sheetData>
    <row r="1">
      <c r="A1" s="23" t="s">
        <v>129</v>
      </c>
      <c r="B1" s="2"/>
      <c r="C1" s="2"/>
      <c r="D1" s="3"/>
    </row>
    <row r="3">
      <c r="A3" s="8" t="s">
        <v>130</v>
      </c>
      <c r="B3" s="8" t="s">
        <v>131</v>
      </c>
      <c r="C3" s="8" t="s">
        <v>132</v>
      </c>
      <c r="D3" s="8" t="s">
        <v>34</v>
      </c>
    </row>
    <row r="4">
      <c r="A4" s="5" t="s">
        <v>133</v>
      </c>
      <c r="B4" s="5" t="s">
        <v>134</v>
      </c>
      <c r="C4" s="5" t="s">
        <v>135</v>
      </c>
      <c r="D4" s="5" t="s">
        <v>136</v>
      </c>
    </row>
    <row r="5">
      <c r="A5" s="5" t="s">
        <v>137</v>
      </c>
      <c r="B5" s="5" t="s">
        <v>138</v>
      </c>
      <c r="C5" s="5" t="s">
        <v>139</v>
      </c>
      <c r="D5" s="5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2026-04-19T03:19:48Z</dcterms:created>
  <dc:creator>openpyxl</dc:creator>
</cp:coreProperties>
</file>